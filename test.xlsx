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kuwam\Documents\Python\PenantGame\"/>
    </mc:Choice>
  </mc:AlternateContent>
  <xr:revisionPtr revIDLastSave="0" documentId="13_ncr:1_{7CAF1D9B-D0C5-4246-9EBB-6759FEF2318C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test1_p" sheetId="1" r:id="rId1"/>
    <sheet name="test1_b" sheetId="2" r:id="rId2"/>
    <sheet name="test2_p" sheetId="3" r:id="rId3"/>
    <sheet name="test2_b" sheetId="4" r:id="rId4"/>
    <sheet name="rank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3" i="4" l="1"/>
  <c r="AP4" i="4"/>
  <c r="AP5" i="4"/>
  <c r="AP6" i="4"/>
  <c r="AP7" i="4"/>
  <c r="AP8" i="4"/>
  <c r="AP9" i="4"/>
  <c r="AP10" i="4"/>
  <c r="AP2" i="4"/>
  <c r="AP3" i="2"/>
  <c r="AP4" i="2"/>
  <c r="AP5" i="2"/>
  <c r="AP6" i="2"/>
  <c r="AP7" i="2"/>
  <c r="AP8" i="2"/>
  <c r="AP9" i="2"/>
  <c r="AP10" i="2"/>
  <c r="AP2" i="2"/>
  <c r="AO3" i="2"/>
  <c r="AO4" i="2"/>
  <c r="AO5" i="2"/>
  <c r="AO6" i="2"/>
  <c r="AO7" i="2"/>
  <c r="AO8" i="2"/>
  <c r="AO9" i="2"/>
  <c r="AO10" i="2"/>
  <c r="AO2" i="2"/>
  <c r="AO3" i="4"/>
  <c r="AO4" i="4"/>
  <c r="AO5" i="4"/>
  <c r="AO6" i="4"/>
  <c r="AO7" i="4"/>
  <c r="AO8" i="4"/>
  <c r="AO9" i="4"/>
  <c r="AO10" i="4"/>
  <c r="AO2" i="4"/>
</calcChain>
</file>

<file path=xl/sharedStrings.xml><?xml version="1.0" encoding="utf-8"?>
<sst xmlns="http://schemas.openxmlformats.org/spreadsheetml/2006/main" count="1078" uniqueCount="162">
  <si>
    <t>所属</t>
  </si>
  <si>
    <t>背番号</t>
  </si>
  <si>
    <t>名前</t>
  </si>
  <si>
    <t>投</t>
  </si>
  <si>
    <t>打</t>
  </si>
  <si>
    <t>適性</t>
  </si>
  <si>
    <t>球速</t>
  </si>
  <si>
    <t>制球</t>
  </si>
  <si>
    <t>スタミナ</t>
  </si>
  <si>
    <t>変化球</t>
  </si>
  <si>
    <t>対ピンチ</t>
  </si>
  <si>
    <t>対左打者</t>
  </si>
  <si>
    <t>打たれ強さ</t>
  </si>
  <si>
    <t>ケガしにくさ</t>
  </si>
  <si>
    <t>ノビ</t>
  </si>
  <si>
    <t>クイック</t>
  </si>
  <si>
    <t>回復</t>
  </si>
  <si>
    <t>登板数</t>
  </si>
  <si>
    <t>先発数</t>
  </si>
  <si>
    <t>勝利</t>
  </si>
  <si>
    <t>敗北</t>
  </si>
  <si>
    <t>セーブ</t>
  </si>
  <si>
    <t>ホールド</t>
  </si>
  <si>
    <t>イニング数</t>
  </si>
  <si>
    <t>完投</t>
  </si>
  <si>
    <t>完封</t>
  </si>
  <si>
    <t>打者数</t>
  </si>
  <si>
    <t>奪三振</t>
  </si>
  <si>
    <t>与四球</t>
  </si>
  <si>
    <t>与死球</t>
  </si>
  <si>
    <t>被本塁打</t>
  </si>
  <si>
    <t>被安打</t>
  </si>
  <si>
    <t>失点</t>
  </si>
  <si>
    <t>自責点</t>
  </si>
  <si>
    <t>QS</t>
  </si>
  <si>
    <t>HQS</t>
  </si>
  <si>
    <t>得点圏打者数</t>
  </si>
  <si>
    <t>得点圏被安打</t>
  </si>
  <si>
    <t>test1</t>
  </si>
  <si>
    <t>佐藤</t>
  </si>
  <si>
    <t>右</t>
  </si>
  <si>
    <t>先</t>
  </si>
  <si>
    <t>A</t>
  </si>
  <si>
    <t>D</t>
  </si>
  <si>
    <t>B</t>
  </si>
  <si>
    <t>E</t>
  </si>
  <si>
    <t>鈴木</t>
  </si>
  <si>
    <t>左</t>
  </si>
  <si>
    <t>G</t>
  </si>
  <si>
    <t>F</t>
  </si>
  <si>
    <t>高橋</t>
  </si>
  <si>
    <t>C</t>
  </si>
  <si>
    <t>田中</t>
  </si>
  <si>
    <t>伊藤</t>
  </si>
  <si>
    <t>渡辺</t>
  </si>
  <si>
    <t>山本</t>
  </si>
  <si>
    <t>継</t>
  </si>
  <si>
    <t>中村</t>
  </si>
  <si>
    <t>小林</t>
  </si>
  <si>
    <t>加藤</t>
  </si>
  <si>
    <t>近藤</t>
  </si>
  <si>
    <t>村上</t>
  </si>
  <si>
    <t>抑</t>
  </si>
  <si>
    <t>ポジション</t>
  </si>
  <si>
    <t>弾道</t>
  </si>
  <si>
    <t>ミート</t>
  </si>
  <si>
    <t>パワー</t>
  </si>
  <si>
    <t>走力</t>
  </si>
  <si>
    <t>肩力</t>
  </si>
  <si>
    <t>守備</t>
  </si>
  <si>
    <t>捕球</t>
  </si>
  <si>
    <t>チャンス</t>
  </si>
  <si>
    <t>対左投手</t>
  </si>
  <si>
    <t>盗塁</t>
  </si>
  <si>
    <t>走塁</t>
  </si>
  <si>
    <t>送球</t>
  </si>
  <si>
    <t>選球眼</t>
  </si>
  <si>
    <t>試合数</t>
  </si>
  <si>
    <t>打席</t>
  </si>
  <si>
    <t>打数</t>
  </si>
  <si>
    <t>安打</t>
  </si>
  <si>
    <t>単打</t>
  </si>
  <si>
    <t>二塁打</t>
  </si>
  <si>
    <t>三塁打</t>
  </si>
  <si>
    <t>本塁打</t>
  </si>
  <si>
    <t>打点</t>
  </si>
  <si>
    <t>四球</t>
  </si>
  <si>
    <t>死球</t>
  </si>
  <si>
    <t>三振</t>
  </si>
  <si>
    <t>犠打</t>
  </si>
  <si>
    <t>犠飛</t>
  </si>
  <si>
    <t>盗塁成功</t>
  </si>
  <si>
    <t>盗塁死</t>
  </si>
  <si>
    <t>併殺打</t>
  </si>
  <si>
    <t>得点圏打席</t>
  </si>
  <si>
    <t>得点圏安打</t>
  </si>
  <si>
    <t>吉田</t>
  </si>
  <si>
    <t>捕</t>
  </si>
  <si>
    <t>山田</t>
  </si>
  <si>
    <t>一</t>
  </si>
  <si>
    <t>佐々</t>
  </si>
  <si>
    <t>二</t>
  </si>
  <si>
    <t>山口</t>
  </si>
  <si>
    <t>三</t>
  </si>
  <si>
    <t>松本</t>
  </si>
  <si>
    <t>遊</t>
  </si>
  <si>
    <t>井上</t>
  </si>
  <si>
    <t>木村</t>
  </si>
  <si>
    <t>中</t>
  </si>
  <si>
    <t>林原</t>
  </si>
  <si>
    <t>斎藤</t>
  </si>
  <si>
    <t>清水</t>
  </si>
  <si>
    <t>山崎</t>
  </si>
  <si>
    <t>森田</t>
  </si>
  <si>
    <t>池田</t>
  </si>
  <si>
    <t>橋本</t>
  </si>
  <si>
    <t>阿部</t>
  </si>
  <si>
    <t>石川</t>
  </si>
  <si>
    <t>山下</t>
  </si>
  <si>
    <t>中島</t>
  </si>
  <si>
    <t>石井</t>
  </si>
  <si>
    <t>前田</t>
  </si>
  <si>
    <t>岡田</t>
  </si>
  <si>
    <t>長谷</t>
  </si>
  <si>
    <t>藤田</t>
  </si>
  <si>
    <t>後藤</t>
  </si>
  <si>
    <t>test2</t>
  </si>
  <si>
    <t>遠藤</t>
  </si>
  <si>
    <t>青木</t>
  </si>
  <si>
    <t>坂本</t>
  </si>
  <si>
    <t>福田</t>
  </si>
  <si>
    <t>太田</t>
  </si>
  <si>
    <t>西村</t>
  </si>
  <si>
    <t>藤井</t>
  </si>
  <si>
    <t>金子</t>
  </si>
  <si>
    <t>岡本</t>
  </si>
  <si>
    <t>藤原</t>
  </si>
  <si>
    <t>中野</t>
  </si>
  <si>
    <t>三浦</t>
  </si>
  <si>
    <t>原田</t>
  </si>
  <si>
    <t>中川</t>
  </si>
  <si>
    <t>松田</t>
  </si>
  <si>
    <t>竹内</t>
  </si>
  <si>
    <t>小野</t>
  </si>
  <si>
    <t>田村</t>
  </si>
  <si>
    <t>中山</t>
  </si>
  <si>
    <t>和だ</t>
  </si>
  <si>
    <t>石田</t>
  </si>
  <si>
    <t>上だ</t>
  </si>
  <si>
    <t>内田</t>
  </si>
  <si>
    <t>原井</t>
  </si>
  <si>
    <t>柴田</t>
  </si>
  <si>
    <t>坂井</t>
  </si>
  <si>
    <t>宮崎</t>
  </si>
  <si>
    <t>横山</t>
  </si>
  <si>
    <t>高木</t>
  </si>
  <si>
    <t>安藤</t>
  </si>
  <si>
    <t>宮本</t>
  </si>
  <si>
    <t>大野</t>
  </si>
  <si>
    <t>尾島</t>
  </si>
  <si>
    <t>谷口</t>
  </si>
  <si>
    <t>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</si>
</sst>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1" formatCode="0.000"/>
  </numFmts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81" fontId="0" fillId="0" borderId="0" xfId="0" applyNumberForma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3"/>
  <sheetViews>
    <sheetView workbookViewId="0"/>
  </sheetViews>
  <sheetFormatPr defaultRowHeight="13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 x14ac:dyDescent="0.2">
      <c r="A2" t="s">
        <v>38</v>
      </c>
      <c r="B2">
        <v>11</v>
      </c>
      <c r="C2" t="s">
        <v>39</v>
      </c>
      <c r="D2" t="s">
        <v>40</v>
      </c>
      <c r="E2" t="s">
        <v>40</v>
      </c>
      <c r="F2" t="s">
        <v>41</v>
      </c>
      <c r="G2">
        <v>152</v>
      </c>
      <c r="H2">
        <v>66</v>
      </c>
      <c r="I2">
        <v>50</v>
      </c>
      <c r="J2">
        <v>5</v>
      </c>
      <c r="K2" t="s">
        <v>42</v>
      </c>
      <c r="L2" t="s">
        <v>43</v>
      </c>
      <c r="M2" t="s">
        <v>44</v>
      </c>
      <c r="N2" t="s">
        <v>43</v>
      </c>
      <c r="O2" t="s">
        <v>42</v>
      </c>
      <c r="P2" t="s">
        <v>42</v>
      </c>
      <c r="Q2" t="s">
        <v>45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2">
      <c r="A3" t="s">
        <v>38</v>
      </c>
      <c r="B3">
        <v>12</v>
      </c>
      <c r="C3" t="s">
        <v>46</v>
      </c>
      <c r="D3" t="s">
        <v>47</v>
      </c>
      <c r="E3" t="s">
        <v>47</v>
      </c>
      <c r="F3" t="s">
        <v>41</v>
      </c>
      <c r="G3">
        <v>152</v>
      </c>
      <c r="H3">
        <v>74</v>
      </c>
      <c r="I3">
        <v>62</v>
      </c>
      <c r="J3">
        <v>7</v>
      </c>
      <c r="K3" t="s">
        <v>44</v>
      </c>
      <c r="L3" t="s">
        <v>43</v>
      </c>
      <c r="M3" t="s">
        <v>42</v>
      </c>
      <c r="N3" t="s">
        <v>48</v>
      </c>
      <c r="O3" t="s">
        <v>49</v>
      </c>
      <c r="P3" t="s">
        <v>45</v>
      </c>
      <c r="Q3" t="s">
        <v>48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2">
      <c r="A4" t="s">
        <v>38</v>
      </c>
      <c r="B4">
        <v>13</v>
      </c>
      <c r="C4" t="s">
        <v>50</v>
      </c>
      <c r="D4" t="s">
        <v>40</v>
      </c>
      <c r="E4" t="s">
        <v>40</v>
      </c>
      <c r="F4" t="s">
        <v>41</v>
      </c>
      <c r="G4">
        <v>147</v>
      </c>
      <c r="H4">
        <v>73</v>
      </c>
      <c r="I4">
        <v>66</v>
      </c>
      <c r="J4">
        <v>8</v>
      </c>
      <c r="K4" t="s">
        <v>42</v>
      </c>
      <c r="L4" t="s">
        <v>43</v>
      </c>
      <c r="M4" t="s">
        <v>49</v>
      </c>
      <c r="N4" t="s">
        <v>51</v>
      </c>
      <c r="O4" t="s">
        <v>43</v>
      </c>
      <c r="P4" t="s">
        <v>49</v>
      </c>
      <c r="Q4" t="s">
        <v>42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2">
      <c r="A5" t="s">
        <v>38</v>
      </c>
      <c r="B5">
        <v>14</v>
      </c>
      <c r="C5" t="s">
        <v>52</v>
      </c>
      <c r="D5" t="s">
        <v>40</v>
      </c>
      <c r="E5" t="s">
        <v>40</v>
      </c>
      <c r="F5" t="s">
        <v>41</v>
      </c>
      <c r="G5">
        <v>147</v>
      </c>
      <c r="H5">
        <v>64</v>
      </c>
      <c r="I5">
        <v>68</v>
      </c>
      <c r="J5">
        <v>9</v>
      </c>
      <c r="K5" t="s">
        <v>48</v>
      </c>
      <c r="L5" t="s">
        <v>43</v>
      </c>
      <c r="M5" t="s">
        <v>49</v>
      </c>
      <c r="N5" t="s">
        <v>44</v>
      </c>
      <c r="O5" t="s">
        <v>43</v>
      </c>
      <c r="P5" t="s">
        <v>42</v>
      </c>
      <c r="Q5" t="s">
        <v>51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2">
      <c r="A6" t="s">
        <v>38</v>
      </c>
      <c r="B6">
        <v>15</v>
      </c>
      <c r="C6" t="s">
        <v>53</v>
      </c>
      <c r="D6" t="s">
        <v>47</v>
      </c>
      <c r="E6" t="s">
        <v>40</v>
      </c>
      <c r="F6" t="s">
        <v>41</v>
      </c>
      <c r="G6">
        <v>145</v>
      </c>
      <c r="H6">
        <v>52</v>
      </c>
      <c r="I6">
        <v>79</v>
      </c>
      <c r="J6">
        <v>8</v>
      </c>
      <c r="K6" t="s">
        <v>44</v>
      </c>
      <c r="L6" t="s">
        <v>51</v>
      </c>
      <c r="M6" t="s">
        <v>44</v>
      </c>
      <c r="N6" t="s">
        <v>43</v>
      </c>
      <c r="O6" t="s">
        <v>42</v>
      </c>
      <c r="P6" t="s">
        <v>44</v>
      </c>
      <c r="Q6" t="s">
        <v>51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x14ac:dyDescent="0.2">
      <c r="A7" t="s">
        <v>38</v>
      </c>
      <c r="B7">
        <v>16</v>
      </c>
      <c r="C7" t="s">
        <v>54</v>
      </c>
      <c r="D7" t="s">
        <v>40</v>
      </c>
      <c r="E7" t="s">
        <v>40</v>
      </c>
      <c r="F7" t="s">
        <v>41</v>
      </c>
      <c r="G7">
        <v>149</v>
      </c>
      <c r="H7">
        <v>40</v>
      </c>
      <c r="I7">
        <v>85</v>
      </c>
      <c r="J7">
        <v>6</v>
      </c>
      <c r="K7" t="s">
        <v>42</v>
      </c>
      <c r="L7" t="s">
        <v>51</v>
      </c>
      <c r="M7" t="s">
        <v>42</v>
      </c>
      <c r="N7" t="s">
        <v>49</v>
      </c>
      <c r="O7" t="s">
        <v>51</v>
      </c>
      <c r="P7" t="s">
        <v>48</v>
      </c>
      <c r="Q7" t="s">
        <v>48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2">
      <c r="A8" t="s">
        <v>38</v>
      </c>
      <c r="B8">
        <v>17</v>
      </c>
      <c r="C8" t="s">
        <v>55</v>
      </c>
      <c r="D8" t="s">
        <v>40</v>
      </c>
      <c r="E8" t="s">
        <v>47</v>
      </c>
      <c r="F8" t="s">
        <v>56</v>
      </c>
      <c r="G8">
        <v>146</v>
      </c>
      <c r="H8">
        <v>83</v>
      </c>
      <c r="I8">
        <v>54</v>
      </c>
      <c r="J8">
        <v>7</v>
      </c>
      <c r="K8" t="s">
        <v>45</v>
      </c>
      <c r="L8" t="s">
        <v>44</v>
      </c>
      <c r="M8" t="s">
        <v>49</v>
      </c>
      <c r="N8" t="s">
        <v>51</v>
      </c>
      <c r="O8" t="s">
        <v>48</v>
      </c>
      <c r="P8" t="s">
        <v>45</v>
      </c>
      <c r="Q8" t="s">
        <v>44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2">
      <c r="A9" t="s">
        <v>38</v>
      </c>
      <c r="B9">
        <v>18</v>
      </c>
      <c r="C9" t="s">
        <v>57</v>
      </c>
      <c r="D9" t="s">
        <v>47</v>
      </c>
      <c r="E9" t="s">
        <v>40</v>
      </c>
      <c r="F9" t="s">
        <v>56</v>
      </c>
      <c r="G9">
        <v>155</v>
      </c>
      <c r="H9">
        <v>44</v>
      </c>
      <c r="I9">
        <v>35</v>
      </c>
      <c r="J9">
        <v>6</v>
      </c>
      <c r="K9" t="s">
        <v>43</v>
      </c>
      <c r="L9" t="s">
        <v>45</v>
      </c>
      <c r="M9" t="s">
        <v>43</v>
      </c>
      <c r="N9" t="s">
        <v>51</v>
      </c>
      <c r="O9" t="s">
        <v>48</v>
      </c>
      <c r="P9" t="s">
        <v>49</v>
      </c>
      <c r="Q9" t="s">
        <v>44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2">
      <c r="A10" t="s">
        <v>38</v>
      </c>
      <c r="B10">
        <v>19</v>
      </c>
      <c r="C10" t="s">
        <v>58</v>
      </c>
      <c r="D10" t="s">
        <v>47</v>
      </c>
      <c r="E10" t="s">
        <v>40</v>
      </c>
      <c r="F10" t="s">
        <v>56</v>
      </c>
      <c r="G10">
        <v>151</v>
      </c>
      <c r="H10">
        <v>34</v>
      </c>
      <c r="I10">
        <v>83</v>
      </c>
      <c r="J10">
        <v>4</v>
      </c>
      <c r="K10" t="s">
        <v>43</v>
      </c>
      <c r="L10" t="s">
        <v>42</v>
      </c>
      <c r="M10" t="s">
        <v>49</v>
      </c>
      <c r="N10" t="s">
        <v>42</v>
      </c>
      <c r="O10" t="s">
        <v>45</v>
      </c>
      <c r="P10" t="s">
        <v>49</v>
      </c>
      <c r="Q10" t="s">
        <v>48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2">
      <c r="A11" t="s">
        <v>38</v>
      </c>
      <c r="B11">
        <v>20</v>
      </c>
      <c r="C11" t="s">
        <v>59</v>
      </c>
      <c r="D11" t="s">
        <v>47</v>
      </c>
      <c r="E11" t="s">
        <v>47</v>
      </c>
      <c r="F11" t="s">
        <v>56</v>
      </c>
      <c r="G11">
        <v>156</v>
      </c>
      <c r="H11">
        <v>43</v>
      </c>
      <c r="I11">
        <v>47</v>
      </c>
      <c r="J11">
        <v>5</v>
      </c>
      <c r="K11" t="s">
        <v>48</v>
      </c>
      <c r="L11" t="s">
        <v>51</v>
      </c>
      <c r="M11" t="s">
        <v>44</v>
      </c>
      <c r="N11" t="s">
        <v>49</v>
      </c>
      <c r="O11" t="s">
        <v>45</v>
      </c>
      <c r="P11" t="s">
        <v>51</v>
      </c>
      <c r="Q11" t="s">
        <v>45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2">
      <c r="A12" t="s">
        <v>38</v>
      </c>
      <c r="B12">
        <v>21</v>
      </c>
      <c r="C12" t="s">
        <v>60</v>
      </c>
      <c r="D12" t="s">
        <v>40</v>
      </c>
      <c r="E12" t="s">
        <v>47</v>
      </c>
      <c r="F12" t="s">
        <v>56</v>
      </c>
      <c r="G12">
        <v>146</v>
      </c>
      <c r="H12">
        <v>43</v>
      </c>
      <c r="I12">
        <v>50</v>
      </c>
      <c r="J12">
        <v>4</v>
      </c>
      <c r="K12" t="s">
        <v>42</v>
      </c>
      <c r="L12" t="s">
        <v>43</v>
      </c>
      <c r="M12" t="s">
        <v>45</v>
      </c>
      <c r="N12" t="s">
        <v>45</v>
      </c>
      <c r="O12" t="s">
        <v>43</v>
      </c>
      <c r="P12" t="s">
        <v>49</v>
      </c>
      <c r="Q12" t="s">
        <v>49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2">
      <c r="A13" t="s">
        <v>38</v>
      </c>
      <c r="B13">
        <v>22</v>
      </c>
      <c r="C13" t="s">
        <v>61</v>
      </c>
      <c r="D13" t="s">
        <v>47</v>
      </c>
      <c r="E13" t="s">
        <v>40</v>
      </c>
      <c r="F13" t="s">
        <v>62</v>
      </c>
      <c r="G13">
        <v>148</v>
      </c>
      <c r="H13">
        <v>78</v>
      </c>
      <c r="I13">
        <v>84</v>
      </c>
      <c r="J13">
        <v>5</v>
      </c>
      <c r="K13" t="s">
        <v>45</v>
      </c>
      <c r="L13" t="s">
        <v>49</v>
      </c>
      <c r="M13" t="s">
        <v>44</v>
      </c>
      <c r="N13" t="s">
        <v>51</v>
      </c>
      <c r="O13" t="s">
        <v>44</v>
      </c>
      <c r="P13" t="s">
        <v>45</v>
      </c>
      <c r="Q13" t="s">
        <v>45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5"/>
  <sheetViews>
    <sheetView workbookViewId="0">
      <selection activeCell="AP8" sqref="AP8"/>
    </sheetView>
  </sheetViews>
  <sheetFormatPr defaultRowHeight="13" x14ac:dyDescent="0.2"/>
  <sheetData>
    <row r="1" spans="1:4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63</v>
      </c>
      <c r="G1" s="1" t="s">
        <v>64</v>
      </c>
      <c r="H1" s="1" t="s">
        <v>65</v>
      </c>
      <c r="I1" s="1" t="s">
        <v>66</v>
      </c>
      <c r="J1" s="1" t="s">
        <v>67</v>
      </c>
      <c r="K1" s="1" t="s">
        <v>68</v>
      </c>
      <c r="L1" s="1" t="s">
        <v>69</v>
      </c>
      <c r="M1" s="1" t="s">
        <v>70</v>
      </c>
      <c r="N1" s="1" t="s">
        <v>71</v>
      </c>
      <c r="O1" s="1" t="s">
        <v>72</v>
      </c>
      <c r="P1" s="1" t="s">
        <v>13</v>
      </c>
      <c r="Q1" s="1" t="s">
        <v>73</v>
      </c>
      <c r="R1" s="1" t="s">
        <v>74</v>
      </c>
      <c r="S1" s="1" t="s">
        <v>75</v>
      </c>
      <c r="T1" s="1" t="s">
        <v>16</v>
      </c>
      <c r="U1" s="1" t="s">
        <v>76</v>
      </c>
      <c r="V1" s="1" t="s">
        <v>77</v>
      </c>
      <c r="W1" s="1" t="s">
        <v>78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83</v>
      </c>
      <c r="AC1" s="1" t="s">
        <v>84</v>
      </c>
      <c r="AD1" s="1" t="s">
        <v>85</v>
      </c>
      <c r="AE1" s="1" t="s">
        <v>86</v>
      </c>
      <c r="AF1" s="1" t="s">
        <v>87</v>
      </c>
      <c r="AG1" s="1" t="s">
        <v>88</v>
      </c>
      <c r="AH1" s="1" t="s">
        <v>89</v>
      </c>
      <c r="AI1" s="1" t="s">
        <v>90</v>
      </c>
      <c r="AJ1" s="1" t="s">
        <v>91</v>
      </c>
      <c r="AK1" s="1" t="s">
        <v>92</v>
      </c>
      <c r="AL1" s="1" t="s">
        <v>93</v>
      </c>
      <c r="AM1" s="1" t="s">
        <v>94</v>
      </c>
      <c r="AN1" s="1" t="s">
        <v>95</v>
      </c>
    </row>
    <row r="2" spans="1:42" x14ac:dyDescent="0.2">
      <c r="A2" t="s">
        <v>38</v>
      </c>
      <c r="B2">
        <v>0</v>
      </c>
      <c r="C2" t="s">
        <v>96</v>
      </c>
      <c r="D2" t="s">
        <v>40</v>
      </c>
      <c r="E2" t="s">
        <v>47</v>
      </c>
      <c r="F2" t="s">
        <v>97</v>
      </c>
      <c r="G2">
        <v>1</v>
      </c>
      <c r="H2">
        <v>55</v>
      </c>
      <c r="I2">
        <v>65</v>
      </c>
      <c r="J2">
        <v>32</v>
      </c>
      <c r="K2">
        <v>44</v>
      </c>
      <c r="L2">
        <v>54</v>
      </c>
      <c r="M2">
        <v>75</v>
      </c>
      <c r="N2" t="s">
        <v>51</v>
      </c>
      <c r="O2" t="s">
        <v>42</v>
      </c>
      <c r="P2" t="s">
        <v>48</v>
      </c>
      <c r="Q2" t="s">
        <v>43</v>
      </c>
      <c r="R2" t="s">
        <v>49</v>
      </c>
      <c r="S2" t="s">
        <v>42</v>
      </c>
      <c r="T2" t="s">
        <v>42</v>
      </c>
      <c r="U2" t="s">
        <v>49</v>
      </c>
      <c r="V2">
        <v>0</v>
      </c>
      <c r="W2">
        <v>684</v>
      </c>
      <c r="X2">
        <v>624</v>
      </c>
      <c r="Y2">
        <v>136</v>
      </c>
      <c r="Z2">
        <v>112</v>
      </c>
      <c r="AA2">
        <v>13</v>
      </c>
      <c r="AB2">
        <v>0</v>
      </c>
      <c r="AC2">
        <v>11</v>
      </c>
      <c r="AD2">
        <v>0</v>
      </c>
      <c r="AE2">
        <v>53</v>
      </c>
      <c r="AF2">
        <v>7</v>
      </c>
      <c r="AG2">
        <v>110</v>
      </c>
      <c r="AH2">
        <v>0</v>
      </c>
      <c r="AI2">
        <v>0</v>
      </c>
      <c r="AJ2">
        <v>0</v>
      </c>
      <c r="AK2">
        <v>0</v>
      </c>
      <c r="AL2">
        <v>0</v>
      </c>
      <c r="AM2">
        <v>132</v>
      </c>
      <c r="AN2">
        <v>32</v>
      </c>
      <c r="AO2" s="2">
        <f>Y2/X2</f>
        <v>0.21794871794871795</v>
      </c>
      <c r="AP2" s="2">
        <f>(Z2+2*AA2+3*AB2+4*AC2)/X2+(Y2+AE2+AF2)/W2</f>
        <v>0.57821637426900585</v>
      </c>
    </row>
    <row r="3" spans="1:42" x14ac:dyDescent="0.2">
      <c r="A3" t="s">
        <v>38</v>
      </c>
      <c r="B3">
        <v>1</v>
      </c>
      <c r="C3" t="s">
        <v>98</v>
      </c>
      <c r="D3" t="s">
        <v>40</v>
      </c>
      <c r="E3" t="s">
        <v>40</v>
      </c>
      <c r="F3" t="s">
        <v>99</v>
      </c>
      <c r="G3">
        <v>2</v>
      </c>
      <c r="H3">
        <v>53</v>
      </c>
      <c r="I3">
        <v>30</v>
      </c>
      <c r="J3">
        <v>51</v>
      </c>
      <c r="K3">
        <v>86</v>
      </c>
      <c r="L3">
        <v>31</v>
      </c>
      <c r="M3">
        <v>66</v>
      </c>
      <c r="N3" t="s">
        <v>42</v>
      </c>
      <c r="O3" t="s">
        <v>43</v>
      </c>
      <c r="P3" t="s">
        <v>42</v>
      </c>
      <c r="Q3" t="s">
        <v>43</v>
      </c>
      <c r="R3" t="s">
        <v>51</v>
      </c>
      <c r="S3" t="s">
        <v>43</v>
      </c>
      <c r="T3" t="s">
        <v>43</v>
      </c>
      <c r="U3" t="s">
        <v>44</v>
      </c>
      <c r="V3">
        <v>0</v>
      </c>
      <c r="W3">
        <v>664</v>
      </c>
      <c r="X3">
        <v>657</v>
      </c>
      <c r="Y3">
        <v>143</v>
      </c>
      <c r="Z3">
        <v>127</v>
      </c>
      <c r="AA3">
        <v>13</v>
      </c>
      <c r="AB3">
        <v>3</v>
      </c>
      <c r="AC3">
        <v>0</v>
      </c>
      <c r="AD3">
        <v>0</v>
      </c>
      <c r="AE3">
        <v>3</v>
      </c>
      <c r="AF3">
        <v>4</v>
      </c>
      <c r="AG3">
        <v>128</v>
      </c>
      <c r="AH3">
        <v>0</v>
      </c>
      <c r="AI3">
        <v>0</v>
      </c>
      <c r="AJ3">
        <v>0</v>
      </c>
      <c r="AK3">
        <v>0</v>
      </c>
      <c r="AL3">
        <v>0</v>
      </c>
      <c r="AM3">
        <v>114</v>
      </c>
      <c r="AN3">
        <v>30</v>
      </c>
      <c r="AO3" s="2">
        <f t="shared" ref="AO3:AO10" si="0">Y3/X3</f>
        <v>0.21765601217656011</v>
      </c>
      <c r="AP3" s="2">
        <f t="shared" ref="AP3:AP10" si="1">(Z3+2*AA3+3*AB3+4*AC3)/X3+(Y3+AE3+AF3)/W3</f>
        <v>0.47247895692358477</v>
      </c>
    </row>
    <row r="4" spans="1:42" x14ac:dyDescent="0.2">
      <c r="A4" t="s">
        <v>38</v>
      </c>
      <c r="B4">
        <v>2</v>
      </c>
      <c r="C4" t="s">
        <v>100</v>
      </c>
      <c r="D4" t="s">
        <v>40</v>
      </c>
      <c r="E4" t="s">
        <v>47</v>
      </c>
      <c r="F4" t="s">
        <v>101</v>
      </c>
      <c r="G4">
        <v>1</v>
      </c>
      <c r="H4">
        <v>73</v>
      </c>
      <c r="I4">
        <v>35</v>
      </c>
      <c r="J4">
        <v>66</v>
      </c>
      <c r="K4">
        <v>60</v>
      </c>
      <c r="L4">
        <v>53</v>
      </c>
      <c r="M4">
        <v>52</v>
      </c>
      <c r="N4" t="s">
        <v>51</v>
      </c>
      <c r="O4" t="s">
        <v>43</v>
      </c>
      <c r="P4" t="s">
        <v>42</v>
      </c>
      <c r="Q4" t="s">
        <v>51</v>
      </c>
      <c r="R4" t="s">
        <v>51</v>
      </c>
      <c r="S4" t="s">
        <v>51</v>
      </c>
      <c r="T4" t="s">
        <v>49</v>
      </c>
      <c r="U4" t="s">
        <v>51</v>
      </c>
      <c r="V4">
        <v>0</v>
      </c>
      <c r="W4">
        <v>640</v>
      </c>
      <c r="X4">
        <v>635</v>
      </c>
      <c r="Y4">
        <v>206</v>
      </c>
      <c r="Z4">
        <v>188</v>
      </c>
      <c r="AA4">
        <v>11</v>
      </c>
      <c r="AB4">
        <v>7</v>
      </c>
      <c r="AC4">
        <v>0</v>
      </c>
      <c r="AD4">
        <v>0</v>
      </c>
      <c r="AE4">
        <v>2</v>
      </c>
      <c r="AF4">
        <v>3</v>
      </c>
      <c r="AG4">
        <v>101</v>
      </c>
      <c r="AH4">
        <v>0</v>
      </c>
      <c r="AI4">
        <v>0</v>
      </c>
      <c r="AJ4">
        <v>0</v>
      </c>
      <c r="AK4">
        <v>0</v>
      </c>
      <c r="AL4">
        <v>0</v>
      </c>
      <c r="AM4">
        <v>100</v>
      </c>
      <c r="AN4">
        <v>31</v>
      </c>
      <c r="AO4" s="2">
        <f t="shared" si="0"/>
        <v>0.32440944881889766</v>
      </c>
      <c r="AP4" s="2">
        <f t="shared" si="1"/>
        <v>0.69346702755905509</v>
      </c>
    </row>
    <row r="5" spans="1:42" x14ac:dyDescent="0.2">
      <c r="A5" t="s">
        <v>38</v>
      </c>
      <c r="B5">
        <v>3</v>
      </c>
      <c r="C5" t="s">
        <v>102</v>
      </c>
      <c r="D5" t="s">
        <v>40</v>
      </c>
      <c r="E5" t="s">
        <v>47</v>
      </c>
      <c r="F5" t="s">
        <v>103</v>
      </c>
      <c r="G5">
        <v>3</v>
      </c>
      <c r="H5">
        <v>54</v>
      </c>
      <c r="I5">
        <v>43</v>
      </c>
      <c r="J5">
        <v>75</v>
      </c>
      <c r="K5">
        <v>80</v>
      </c>
      <c r="L5">
        <v>43</v>
      </c>
      <c r="M5">
        <v>64</v>
      </c>
      <c r="N5" t="s">
        <v>48</v>
      </c>
      <c r="O5" t="s">
        <v>43</v>
      </c>
      <c r="P5" t="s">
        <v>51</v>
      </c>
      <c r="Q5" t="s">
        <v>44</v>
      </c>
      <c r="R5" t="s">
        <v>44</v>
      </c>
      <c r="S5" t="s">
        <v>42</v>
      </c>
      <c r="T5" t="s">
        <v>45</v>
      </c>
      <c r="U5" t="s">
        <v>49</v>
      </c>
      <c r="V5">
        <v>0</v>
      </c>
      <c r="W5">
        <v>622</v>
      </c>
      <c r="X5">
        <v>597</v>
      </c>
      <c r="Y5">
        <v>150</v>
      </c>
      <c r="Z5">
        <v>121</v>
      </c>
      <c r="AA5">
        <v>19</v>
      </c>
      <c r="AB5">
        <v>10</v>
      </c>
      <c r="AC5">
        <v>0</v>
      </c>
      <c r="AD5">
        <v>0</v>
      </c>
      <c r="AE5">
        <v>20</v>
      </c>
      <c r="AF5">
        <v>5</v>
      </c>
      <c r="AG5">
        <v>98</v>
      </c>
      <c r="AH5">
        <v>0</v>
      </c>
      <c r="AI5">
        <v>0</v>
      </c>
      <c r="AJ5">
        <v>0</v>
      </c>
      <c r="AK5">
        <v>0</v>
      </c>
      <c r="AL5">
        <v>0</v>
      </c>
      <c r="AM5">
        <v>129</v>
      </c>
      <c r="AN5">
        <v>28</v>
      </c>
      <c r="AO5" s="2">
        <f t="shared" si="0"/>
        <v>0.25125628140703515</v>
      </c>
      <c r="AP5" s="2">
        <f t="shared" si="1"/>
        <v>0.59793339688797686</v>
      </c>
    </row>
    <row r="6" spans="1:42" x14ac:dyDescent="0.2">
      <c r="A6" t="s">
        <v>38</v>
      </c>
      <c r="B6">
        <v>4</v>
      </c>
      <c r="C6" t="s">
        <v>104</v>
      </c>
      <c r="D6" t="s">
        <v>47</v>
      </c>
      <c r="E6" t="s">
        <v>47</v>
      </c>
      <c r="F6" t="s">
        <v>105</v>
      </c>
      <c r="G6">
        <v>4</v>
      </c>
      <c r="H6">
        <v>48</v>
      </c>
      <c r="I6">
        <v>47</v>
      </c>
      <c r="J6">
        <v>68</v>
      </c>
      <c r="K6">
        <v>66</v>
      </c>
      <c r="L6">
        <v>52</v>
      </c>
      <c r="M6">
        <v>35</v>
      </c>
      <c r="N6" t="s">
        <v>42</v>
      </c>
      <c r="O6" t="s">
        <v>43</v>
      </c>
      <c r="P6" t="s">
        <v>49</v>
      </c>
      <c r="Q6" t="s">
        <v>45</v>
      </c>
      <c r="R6" t="s">
        <v>48</v>
      </c>
      <c r="S6" t="s">
        <v>51</v>
      </c>
      <c r="T6" t="s">
        <v>45</v>
      </c>
      <c r="U6" t="s">
        <v>44</v>
      </c>
      <c r="V6">
        <v>0</v>
      </c>
      <c r="W6">
        <v>610</v>
      </c>
      <c r="X6">
        <v>579</v>
      </c>
      <c r="Y6">
        <v>124</v>
      </c>
      <c r="Z6">
        <v>86</v>
      </c>
      <c r="AA6">
        <v>28</v>
      </c>
      <c r="AB6">
        <v>7</v>
      </c>
      <c r="AC6">
        <v>3</v>
      </c>
      <c r="AD6">
        <v>0</v>
      </c>
      <c r="AE6">
        <v>21</v>
      </c>
      <c r="AF6">
        <v>10</v>
      </c>
      <c r="AG6">
        <v>115</v>
      </c>
      <c r="AH6">
        <v>0</v>
      </c>
      <c r="AI6">
        <v>0</v>
      </c>
      <c r="AJ6">
        <v>0</v>
      </c>
      <c r="AK6">
        <v>0</v>
      </c>
      <c r="AL6">
        <v>0</v>
      </c>
      <c r="AM6">
        <v>142</v>
      </c>
      <c r="AN6">
        <v>42</v>
      </c>
      <c r="AO6" s="2">
        <f t="shared" si="0"/>
        <v>0.21416234887737479</v>
      </c>
      <c r="AP6" s="2">
        <f t="shared" si="1"/>
        <v>0.55634361108751662</v>
      </c>
    </row>
    <row r="7" spans="1:42" x14ac:dyDescent="0.2">
      <c r="A7" t="s">
        <v>38</v>
      </c>
      <c r="B7">
        <v>5</v>
      </c>
      <c r="C7" t="s">
        <v>106</v>
      </c>
      <c r="D7" t="s">
        <v>47</v>
      </c>
      <c r="E7" t="s">
        <v>40</v>
      </c>
      <c r="F7" t="s">
        <v>40</v>
      </c>
      <c r="G7">
        <v>4</v>
      </c>
      <c r="H7">
        <v>67</v>
      </c>
      <c r="I7">
        <v>87</v>
      </c>
      <c r="J7">
        <v>49</v>
      </c>
      <c r="K7">
        <v>39</v>
      </c>
      <c r="L7">
        <v>87</v>
      </c>
      <c r="M7">
        <v>59</v>
      </c>
      <c r="N7" t="s">
        <v>42</v>
      </c>
      <c r="O7" t="s">
        <v>45</v>
      </c>
      <c r="P7" t="s">
        <v>45</v>
      </c>
      <c r="Q7" t="s">
        <v>42</v>
      </c>
      <c r="R7" t="s">
        <v>51</v>
      </c>
      <c r="S7" t="s">
        <v>48</v>
      </c>
      <c r="T7" t="s">
        <v>49</v>
      </c>
      <c r="U7" t="s">
        <v>44</v>
      </c>
      <c r="V7">
        <v>0</v>
      </c>
      <c r="W7">
        <v>571</v>
      </c>
      <c r="X7">
        <v>496</v>
      </c>
      <c r="Y7">
        <v>143</v>
      </c>
      <c r="Z7">
        <v>89</v>
      </c>
      <c r="AA7">
        <v>28</v>
      </c>
      <c r="AB7">
        <v>0</v>
      </c>
      <c r="AC7">
        <v>26</v>
      </c>
      <c r="AD7">
        <v>0</v>
      </c>
      <c r="AE7">
        <v>69</v>
      </c>
      <c r="AF7">
        <v>6</v>
      </c>
      <c r="AG7">
        <v>80</v>
      </c>
      <c r="AH7">
        <v>0</v>
      </c>
      <c r="AI7">
        <v>0</v>
      </c>
      <c r="AJ7">
        <v>0</v>
      </c>
      <c r="AK7">
        <v>0</v>
      </c>
      <c r="AL7">
        <v>0</v>
      </c>
      <c r="AM7">
        <v>166</v>
      </c>
      <c r="AN7">
        <v>37</v>
      </c>
      <c r="AO7" s="2">
        <f t="shared" si="0"/>
        <v>0.28830645161290325</v>
      </c>
      <c r="AP7" s="2">
        <f t="shared" si="1"/>
        <v>0.88380246878707425</v>
      </c>
    </row>
    <row r="8" spans="1:42" x14ac:dyDescent="0.2">
      <c r="A8" t="s">
        <v>38</v>
      </c>
      <c r="B8">
        <v>6</v>
      </c>
      <c r="C8" t="s">
        <v>107</v>
      </c>
      <c r="D8" t="s">
        <v>40</v>
      </c>
      <c r="E8" t="s">
        <v>40</v>
      </c>
      <c r="F8" t="s">
        <v>108</v>
      </c>
      <c r="G8">
        <v>4</v>
      </c>
      <c r="H8">
        <v>82</v>
      </c>
      <c r="I8">
        <v>80</v>
      </c>
      <c r="J8">
        <v>60</v>
      </c>
      <c r="K8">
        <v>55</v>
      </c>
      <c r="L8">
        <v>34</v>
      </c>
      <c r="M8">
        <v>83</v>
      </c>
      <c r="N8" t="s">
        <v>48</v>
      </c>
      <c r="O8" t="s">
        <v>43</v>
      </c>
      <c r="P8" t="s">
        <v>45</v>
      </c>
      <c r="Q8" t="s">
        <v>44</v>
      </c>
      <c r="R8" t="s">
        <v>45</v>
      </c>
      <c r="S8" t="s">
        <v>43</v>
      </c>
      <c r="T8" t="s">
        <v>42</v>
      </c>
      <c r="U8" t="s">
        <v>49</v>
      </c>
      <c r="V8">
        <v>0</v>
      </c>
      <c r="W8">
        <v>586</v>
      </c>
      <c r="X8">
        <v>521</v>
      </c>
      <c r="Y8">
        <v>188</v>
      </c>
      <c r="Z8">
        <v>135</v>
      </c>
      <c r="AA8">
        <v>23</v>
      </c>
      <c r="AB8">
        <v>3</v>
      </c>
      <c r="AC8">
        <v>27</v>
      </c>
      <c r="AD8">
        <v>0</v>
      </c>
      <c r="AE8">
        <v>60</v>
      </c>
      <c r="AF8">
        <v>5</v>
      </c>
      <c r="AG8">
        <v>83</v>
      </c>
      <c r="AH8">
        <v>0</v>
      </c>
      <c r="AI8">
        <v>0</v>
      </c>
      <c r="AJ8">
        <v>0</v>
      </c>
      <c r="AK8">
        <v>0</v>
      </c>
      <c r="AL8">
        <v>0</v>
      </c>
      <c r="AM8">
        <v>141</v>
      </c>
      <c r="AN8">
        <v>45</v>
      </c>
      <c r="AO8" s="2">
        <f t="shared" si="0"/>
        <v>0.36084452975047987</v>
      </c>
      <c r="AP8" s="2">
        <f t="shared" si="1"/>
        <v>1.0037175817049124</v>
      </c>
    </row>
    <row r="9" spans="1:42" x14ac:dyDescent="0.2">
      <c r="A9" t="s">
        <v>38</v>
      </c>
      <c r="B9">
        <v>7</v>
      </c>
      <c r="C9" t="s">
        <v>109</v>
      </c>
      <c r="D9" t="s">
        <v>40</v>
      </c>
      <c r="E9" t="s">
        <v>47</v>
      </c>
      <c r="F9" t="s">
        <v>47</v>
      </c>
      <c r="G9">
        <v>4</v>
      </c>
      <c r="H9">
        <v>83</v>
      </c>
      <c r="I9">
        <v>30</v>
      </c>
      <c r="J9">
        <v>73</v>
      </c>
      <c r="K9">
        <v>73</v>
      </c>
      <c r="L9">
        <v>52</v>
      </c>
      <c r="M9">
        <v>66</v>
      </c>
      <c r="N9" t="s">
        <v>51</v>
      </c>
      <c r="O9" t="s">
        <v>44</v>
      </c>
      <c r="P9" t="s">
        <v>42</v>
      </c>
      <c r="Q9" t="s">
        <v>51</v>
      </c>
      <c r="R9" t="s">
        <v>42</v>
      </c>
      <c r="S9" t="s">
        <v>43</v>
      </c>
      <c r="T9" t="s">
        <v>45</v>
      </c>
      <c r="U9" t="s">
        <v>51</v>
      </c>
      <c r="V9">
        <v>0</v>
      </c>
      <c r="W9">
        <v>595</v>
      </c>
      <c r="X9">
        <v>576</v>
      </c>
      <c r="Y9">
        <v>217</v>
      </c>
      <c r="Z9">
        <v>189</v>
      </c>
      <c r="AA9">
        <v>18</v>
      </c>
      <c r="AB9">
        <v>10</v>
      </c>
      <c r="AC9">
        <v>0</v>
      </c>
      <c r="AD9">
        <v>0</v>
      </c>
      <c r="AE9">
        <v>13</v>
      </c>
      <c r="AF9">
        <v>6</v>
      </c>
      <c r="AG9">
        <v>78</v>
      </c>
      <c r="AH9">
        <v>0</v>
      </c>
      <c r="AI9">
        <v>0</v>
      </c>
      <c r="AJ9">
        <v>0</v>
      </c>
      <c r="AK9">
        <v>0</v>
      </c>
      <c r="AL9">
        <v>0</v>
      </c>
      <c r="AM9">
        <v>115</v>
      </c>
      <c r="AN9">
        <v>45</v>
      </c>
      <c r="AO9" s="2">
        <f t="shared" si="0"/>
        <v>0.3767361111111111</v>
      </c>
      <c r="AP9" s="2">
        <f t="shared" si="1"/>
        <v>0.83934698879551817</v>
      </c>
    </row>
    <row r="10" spans="1:42" x14ac:dyDescent="0.2">
      <c r="A10" t="s">
        <v>38</v>
      </c>
      <c r="B10">
        <v>8</v>
      </c>
      <c r="C10" t="s">
        <v>110</v>
      </c>
      <c r="D10" t="s">
        <v>40</v>
      </c>
      <c r="E10" t="s">
        <v>47</v>
      </c>
      <c r="F10" t="s">
        <v>97</v>
      </c>
      <c r="G10">
        <v>4</v>
      </c>
      <c r="H10">
        <v>35</v>
      </c>
      <c r="I10">
        <v>78</v>
      </c>
      <c r="J10">
        <v>30</v>
      </c>
      <c r="K10">
        <v>52</v>
      </c>
      <c r="L10">
        <v>69</v>
      </c>
      <c r="M10">
        <v>44</v>
      </c>
      <c r="N10" t="s">
        <v>48</v>
      </c>
      <c r="O10" t="s">
        <v>48</v>
      </c>
      <c r="P10" t="s">
        <v>43</v>
      </c>
      <c r="Q10" t="s">
        <v>51</v>
      </c>
      <c r="R10" t="s">
        <v>45</v>
      </c>
      <c r="S10" t="s">
        <v>43</v>
      </c>
      <c r="T10" t="s">
        <v>51</v>
      </c>
      <c r="U10" t="s">
        <v>45</v>
      </c>
      <c r="V10">
        <v>0</v>
      </c>
      <c r="W10">
        <v>561</v>
      </c>
      <c r="X10">
        <v>493</v>
      </c>
      <c r="Y10">
        <v>91</v>
      </c>
      <c r="Z10">
        <v>38</v>
      </c>
      <c r="AA10">
        <v>17</v>
      </c>
      <c r="AB10">
        <v>0</v>
      </c>
      <c r="AC10">
        <v>36</v>
      </c>
      <c r="AD10">
        <v>0</v>
      </c>
      <c r="AE10">
        <v>64</v>
      </c>
      <c r="AF10">
        <v>4</v>
      </c>
      <c r="AG10">
        <v>103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173</v>
      </c>
      <c r="AN10">
        <v>27</v>
      </c>
      <c r="AO10" s="2">
        <f t="shared" si="0"/>
        <v>0.18458417849898581</v>
      </c>
      <c r="AP10" s="2">
        <f t="shared" si="1"/>
        <v>0.72155633413239906</v>
      </c>
    </row>
    <row r="11" spans="1:42" x14ac:dyDescent="0.2">
      <c r="A11" t="s">
        <v>38</v>
      </c>
      <c r="B11">
        <v>9</v>
      </c>
      <c r="C11" t="s">
        <v>111</v>
      </c>
      <c r="D11" t="s">
        <v>40</v>
      </c>
      <c r="E11" t="s">
        <v>40</v>
      </c>
      <c r="F11" t="s">
        <v>99</v>
      </c>
      <c r="G11">
        <v>4</v>
      </c>
      <c r="H11">
        <v>78</v>
      </c>
      <c r="I11">
        <v>44</v>
      </c>
      <c r="J11">
        <v>76</v>
      </c>
      <c r="K11">
        <v>83</v>
      </c>
      <c r="L11">
        <v>51</v>
      </c>
      <c r="M11">
        <v>81</v>
      </c>
      <c r="N11" t="s">
        <v>43</v>
      </c>
      <c r="O11" t="s">
        <v>48</v>
      </c>
      <c r="P11" t="s">
        <v>44</v>
      </c>
      <c r="Q11" t="s">
        <v>48</v>
      </c>
      <c r="R11" t="s">
        <v>44</v>
      </c>
      <c r="S11" t="s">
        <v>49</v>
      </c>
      <c r="T11" t="s">
        <v>42</v>
      </c>
      <c r="U11" t="s">
        <v>48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</row>
    <row r="12" spans="1:42" x14ac:dyDescent="0.2">
      <c r="A12" t="s">
        <v>38</v>
      </c>
      <c r="B12">
        <v>23</v>
      </c>
      <c r="C12" t="s">
        <v>112</v>
      </c>
      <c r="D12" t="s">
        <v>40</v>
      </c>
      <c r="E12" t="s">
        <v>47</v>
      </c>
      <c r="F12" t="s">
        <v>101</v>
      </c>
      <c r="G12">
        <v>3</v>
      </c>
      <c r="H12">
        <v>62</v>
      </c>
      <c r="I12">
        <v>44</v>
      </c>
      <c r="J12">
        <v>58</v>
      </c>
      <c r="K12">
        <v>60</v>
      </c>
      <c r="L12">
        <v>50</v>
      </c>
      <c r="M12">
        <v>73</v>
      </c>
      <c r="N12" t="s">
        <v>42</v>
      </c>
      <c r="O12" t="s">
        <v>51</v>
      </c>
      <c r="P12" t="s">
        <v>45</v>
      </c>
      <c r="Q12" t="s">
        <v>48</v>
      </c>
      <c r="R12" t="s">
        <v>51</v>
      </c>
      <c r="S12" t="s">
        <v>48</v>
      </c>
      <c r="T12" t="s">
        <v>45</v>
      </c>
      <c r="U12" t="s">
        <v>51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2" x14ac:dyDescent="0.2">
      <c r="A13" t="s">
        <v>38</v>
      </c>
      <c r="B13">
        <v>24</v>
      </c>
      <c r="C13" t="s">
        <v>113</v>
      </c>
      <c r="D13" t="s">
        <v>47</v>
      </c>
      <c r="E13" t="s">
        <v>47</v>
      </c>
      <c r="F13" t="s">
        <v>103</v>
      </c>
      <c r="G13">
        <v>4</v>
      </c>
      <c r="H13">
        <v>51</v>
      </c>
      <c r="I13">
        <v>43</v>
      </c>
      <c r="J13">
        <v>57</v>
      </c>
      <c r="K13">
        <v>62</v>
      </c>
      <c r="L13">
        <v>90</v>
      </c>
      <c r="M13">
        <v>84</v>
      </c>
      <c r="N13" t="s">
        <v>42</v>
      </c>
      <c r="O13" t="s">
        <v>45</v>
      </c>
      <c r="P13" t="s">
        <v>44</v>
      </c>
      <c r="Q13" t="s">
        <v>42</v>
      </c>
      <c r="R13" t="s">
        <v>48</v>
      </c>
      <c r="S13" t="s">
        <v>44</v>
      </c>
      <c r="T13" t="s">
        <v>43</v>
      </c>
      <c r="U13" t="s">
        <v>42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2" x14ac:dyDescent="0.2">
      <c r="A14" t="s">
        <v>38</v>
      </c>
      <c r="B14">
        <v>25</v>
      </c>
      <c r="C14" t="s">
        <v>114</v>
      </c>
      <c r="D14" t="s">
        <v>40</v>
      </c>
      <c r="E14" t="s">
        <v>40</v>
      </c>
      <c r="F14" t="s">
        <v>105</v>
      </c>
      <c r="G14">
        <v>3</v>
      </c>
      <c r="H14">
        <v>87</v>
      </c>
      <c r="I14">
        <v>51</v>
      </c>
      <c r="J14">
        <v>32</v>
      </c>
      <c r="K14">
        <v>31</v>
      </c>
      <c r="L14">
        <v>76</v>
      </c>
      <c r="M14">
        <v>54</v>
      </c>
      <c r="N14" t="s">
        <v>44</v>
      </c>
      <c r="O14" t="s">
        <v>48</v>
      </c>
      <c r="P14" t="s">
        <v>49</v>
      </c>
      <c r="Q14" t="s">
        <v>43</v>
      </c>
      <c r="R14" t="s">
        <v>44</v>
      </c>
      <c r="S14" t="s">
        <v>48</v>
      </c>
      <c r="T14" t="s">
        <v>45</v>
      </c>
      <c r="U14" t="s">
        <v>42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2" x14ac:dyDescent="0.2">
      <c r="A15" t="s">
        <v>38</v>
      </c>
      <c r="B15">
        <v>26</v>
      </c>
      <c r="C15" t="s">
        <v>115</v>
      </c>
      <c r="D15" t="s">
        <v>47</v>
      </c>
      <c r="E15" t="s">
        <v>47</v>
      </c>
      <c r="F15" t="s">
        <v>40</v>
      </c>
      <c r="G15">
        <v>2</v>
      </c>
      <c r="H15">
        <v>83</v>
      </c>
      <c r="I15">
        <v>83</v>
      </c>
      <c r="J15">
        <v>32</v>
      </c>
      <c r="K15">
        <v>55</v>
      </c>
      <c r="L15">
        <v>35</v>
      </c>
      <c r="M15">
        <v>59</v>
      </c>
      <c r="N15" t="s">
        <v>45</v>
      </c>
      <c r="O15" t="s">
        <v>44</v>
      </c>
      <c r="P15" t="s">
        <v>44</v>
      </c>
      <c r="Q15" t="s">
        <v>48</v>
      </c>
      <c r="R15" t="s">
        <v>44</v>
      </c>
      <c r="S15" t="s">
        <v>43</v>
      </c>
      <c r="T15" t="s">
        <v>43</v>
      </c>
      <c r="U15" t="s">
        <v>48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2" x14ac:dyDescent="0.2">
      <c r="A16" t="s">
        <v>38</v>
      </c>
      <c r="B16">
        <v>27</v>
      </c>
      <c r="C16" t="s">
        <v>116</v>
      </c>
      <c r="D16" t="s">
        <v>47</v>
      </c>
      <c r="E16" t="s">
        <v>47</v>
      </c>
      <c r="F16" t="s">
        <v>108</v>
      </c>
      <c r="G16">
        <v>4</v>
      </c>
      <c r="H16">
        <v>84</v>
      </c>
      <c r="I16">
        <v>78</v>
      </c>
      <c r="J16">
        <v>40</v>
      </c>
      <c r="K16">
        <v>61</v>
      </c>
      <c r="L16">
        <v>53</v>
      </c>
      <c r="M16">
        <v>49</v>
      </c>
      <c r="N16" t="s">
        <v>43</v>
      </c>
      <c r="O16" t="s">
        <v>45</v>
      </c>
      <c r="P16" t="s">
        <v>43</v>
      </c>
      <c r="Q16" t="s">
        <v>45</v>
      </c>
      <c r="R16" t="s">
        <v>44</v>
      </c>
      <c r="S16" t="s">
        <v>51</v>
      </c>
      <c r="T16" t="s">
        <v>42</v>
      </c>
      <c r="U16" t="s">
        <v>44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 x14ac:dyDescent="0.2">
      <c r="A17" t="s">
        <v>38</v>
      </c>
      <c r="B17">
        <v>28</v>
      </c>
      <c r="C17" t="s">
        <v>117</v>
      </c>
      <c r="D17" t="s">
        <v>47</v>
      </c>
      <c r="E17" t="s">
        <v>40</v>
      </c>
      <c r="F17" t="s">
        <v>47</v>
      </c>
      <c r="G17">
        <v>4</v>
      </c>
      <c r="H17">
        <v>36</v>
      </c>
      <c r="I17">
        <v>68</v>
      </c>
      <c r="J17">
        <v>35</v>
      </c>
      <c r="K17">
        <v>42</v>
      </c>
      <c r="L17">
        <v>61</v>
      </c>
      <c r="M17">
        <v>34</v>
      </c>
      <c r="N17" t="s">
        <v>42</v>
      </c>
      <c r="O17" t="s">
        <v>48</v>
      </c>
      <c r="P17" t="s">
        <v>49</v>
      </c>
      <c r="Q17" t="s">
        <v>49</v>
      </c>
      <c r="R17" t="s">
        <v>49</v>
      </c>
      <c r="S17" t="s">
        <v>42</v>
      </c>
      <c r="T17" t="s">
        <v>43</v>
      </c>
      <c r="U17" t="s">
        <v>43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 x14ac:dyDescent="0.2">
      <c r="A18" t="s">
        <v>38</v>
      </c>
      <c r="B18">
        <v>29</v>
      </c>
      <c r="C18" t="s">
        <v>118</v>
      </c>
      <c r="D18" t="s">
        <v>47</v>
      </c>
      <c r="E18" t="s">
        <v>40</v>
      </c>
      <c r="F18" t="s">
        <v>97</v>
      </c>
      <c r="G18">
        <v>4</v>
      </c>
      <c r="H18">
        <v>78</v>
      </c>
      <c r="I18">
        <v>61</v>
      </c>
      <c r="J18">
        <v>53</v>
      </c>
      <c r="K18">
        <v>50</v>
      </c>
      <c r="L18">
        <v>48</v>
      </c>
      <c r="M18">
        <v>54</v>
      </c>
      <c r="N18" t="s">
        <v>51</v>
      </c>
      <c r="O18" t="s">
        <v>51</v>
      </c>
      <c r="P18" t="s">
        <v>44</v>
      </c>
      <c r="Q18" t="s">
        <v>49</v>
      </c>
      <c r="R18" t="s">
        <v>43</v>
      </c>
      <c r="S18" t="s">
        <v>51</v>
      </c>
      <c r="T18" t="s">
        <v>42</v>
      </c>
      <c r="U18" t="s">
        <v>45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 x14ac:dyDescent="0.2">
      <c r="A19" t="s">
        <v>38</v>
      </c>
      <c r="B19">
        <v>30</v>
      </c>
      <c r="C19" t="s">
        <v>119</v>
      </c>
      <c r="D19" t="s">
        <v>40</v>
      </c>
      <c r="E19" t="s">
        <v>47</v>
      </c>
      <c r="F19" t="s">
        <v>99</v>
      </c>
      <c r="G19">
        <v>1</v>
      </c>
      <c r="H19">
        <v>61</v>
      </c>
      <c r="I19">
        <v>63</v>
      </c>
      <c r="J19">
        <v>62</v>
      </c>
      <c r="K19">
        <v>65</v>
      </c>
      <c r="L19">
        <v>80</v>
      </c>
      <c r="M19">
        <v>34</v>
      </c>
      <c r="N19" t="s">
        <v>42</v>
      </c>
      <c r="O19" t="s">
        <v>42</v>
      </c>
      <c r="P19" t="s">
        <v>42</v>
      </c>
      <c r="Q19" t="s">
        <v>44</v>
      </c>
      <c r="R19" t="s">
        <v>43</v>
      </c>
      <c r="S19" t="s">
        <v>51</v>
      </c>
      <c r="T19" t="s">
        <v>51</v>
      </c>
      <c r="U19" t="s">
        <v>51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 x14ac:dyDescent="0.2">
      <c r="A20" t="s">
        <v>38</v>
      </c>
      <c r="B20">
        <v>31</v>
      </c>
      <c r="C20" t="s">
        <v>120</v>
      </c>
      <c r="D20" t="s">
        <v>40</v>
      </c>
      <c r="E20" t="s">
        <v>40</v>
      </c>
      <c r="F20" t="s">
        <v>101</v>
      </c>
      <c r="G20">
        <v>2</v>
      </c>
      <c r="H20">
        <v>77</v>
      </c>
      <c r="I20">
        <v>44</v>
      </c>
      <c r="J20">
        <v>44</v>
      </c>
      <c r="K20">
        <v>52</v>
      </c>
      <c r="L20">
        <v>78</v>
      </c>
      <c r="M20">
        <v>41</v>
      </c>
      <c r="N20" t="s">
        <v>45</v>
      </c>
      <c r="O20" t="s">
        <v>44</v>
      </c>
      <c r="P20" t="s">
        <v>48</v>
      </c>
      <c r="Q20" t="s">
        <v>44</v>
      </c>
      <c r="R20" t="s">
        <v>43</v>
      </c>
      <c r="S20" t="s">
        <v>44</v>
      </c>
      <c r="T20" t="s">
        <v>45</v>
      </c>
      <c r="U20" t="s">
        <v>43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 x14ac:dyDescent="0.2">
      <c r="A21" t="s">
        <v>38</v>
      </c>
      <c r="B21">
        <v>32</v>
      </c>
      <c r="C21" t="s">
        <v>121</v>
      </c>
      <c r="D21" t="s">
        <v>40</v>
      </c>
      <c r="E21" t="s">
        <v>47</v>
      </c>
      <c r="F21" t="s">
        <v>103</v>
      </c>
      <c r="G21">
        <v>4</v>
      </c>
      <c r="H21">
        <v>37</v>
      </c>
      <c r="I21">
        <v>39</v>
      </c>
      <c r="J21">
        <v>34</v>
      </c>
      <c r="K21">
        <v>52</v>
      </c>
      <c r="L21">
        <v>80</v>
      </c>
      <c r="M21">
        <v>40</v>
      </c>
      <c r="N21" t="s">
        <v>49</v>
      </c>
      <c r="O21" t="s">
        <v>45</v>
      </c>
      <c r="P21" t="s">
        <v>49</v>
      </c>
      <c r="Q21" t="s">
        <v>49</v>
      </c>
      <c r="R21" t="s">
        <v>48</v>
      </c>
      <c r="S21" t="s">
        <v>42</v>
      </c>
      <c r="T21" t="s">
        <v>48</v>
      </c>
      <c r="U21" t="s">
        <v>48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 x14ac:dyDescent="0.2">
      <c r="A22" t="s">
        <v>38</v>
      </c>
      <c r="B22">
        <v>33</v>
      </c>
      <c r="C22" t="s">
        <v>122</v>
      </c>
      <c r="D22" t="s">
        <v>40</v>
      </c>
      <c r="E22" t="s">
        <v>47</v>
      </c>
      <c r="F22" t="s">
        <v>105</v>
      </c>
      <c r="G22">
        <v>4</v>
      </c>
      <c r="H22">
        <v>60</v>
      </c>
      <c r="I22">
        <v>79</v>
      </c>
      <c r="J22">
        <v>70</v>
      </c>
      <c r="K22">
        <v>49</v>
      </c>
      <c r="L22">
        <v>62</v>
      </c>
      <c r="M22">
        <v>75</v>
      </c>
      <c r="N22" t="s">
        <v>49</v>
      </c>
      <c r="O22" t="s">
        <v>45</v>
      </c>
      <c r="P22" t="s">
        <v>48</v>
      </c>
      <c r="Q22" t="s">
        <v>44</v>
      </c>
      <c r="R22" t="s">
        <v>51</v>
      </c>
      <c r="S22" t="s">
        <v>48</v>
      </c>
      <c r="T22" t="s">
        <v>43</v>
      </c>
      <c r="U22" t="s">
        <v>42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 x14ac:dyDescent="0.2">
      <c r="A23" t="s">
        <v>38</v>
      </c>
      <c r="B23">
        <v>34</v>
      </c>
      <c r="C23" t="s">
        <v>123</v>
      </c>
      <c r="D23" t="s">
        <v>47</v>
      </c>
      <c r="E23" t="s">
        <v>47</v>
      </c>
      <c r="F23" t="s">
        <v>40</v>
      </c>
      <c r="G23">
        <v>3</v>
      </c>
      <c r="H23">
        <v>60</v>
      </c>
      <c r="I23">
        <v>66</v>
      </c>
      <c r="J23">
        <v>64</v>
      </c>
      <c r="K23">
        <v>50</v>
      </c>
      <c r="L23">
        <v>63</v>
      </c>
      <c r="M23">
        <v>82</v>
      </c>
      <c r="N23" t="s">
        <v>43</v>
      </c>
      <c r="O23" t="s">
        <v>49</v>
      </c>
      <c r="P23" t="s">
        <v>44</v>
      </c>
      <c r="Q23" t="s">
        <v>44</v>
      </c>
      <c r="R23" t="s">
        <v>51</v>
      </c>
      <c r="S23" t="s">
        <v>48</v>
      </c>
      <c r="T23" t="s">
        <v>42</v>
      </c>
      <c r="U23" t="s">
        <v>44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 x14ac:dyDescent="0.2">
      <c r="A24" t="s">
        <v>38</v>
      </c>
      <c r="B24">
        <v>35</v>
      </c>
      <c r="C24" t="s">
        <v>124</v>
      </c>
      <c r="D24" t="s">
        <v>47</v>
      </c>
      <c r="E24" t="s">
        <v>40</v>
      </c>
      <c r="F24" t="s">
        <v>108</v>
      </c>
      <c r="G24">
        <v>1</v>
      </c>
      <c r="H24">
        <v>47</v>
      </c>
      <c r="I24">
        <v>53</v>
      </c>
      <c r="J24">
        <v>88</v>
      </c>
      <c r="K24">
        <v>44</v>
      </c>
      <c r="L24">
        <v>58</v>
      </c>
      <c r="M24">
        <v>66</v>
      </c>
      <c r="N24" t="s">
        <v>43</v>
      </c>
      <c r="O24" t="s">
        <v>48</v>
      </c>
      <c r="P24" t="s">
        <v>49</v>
      </c>
      <c r="Q24" t="s">
        <v>45</v>
      </c>
      <c r="R24" t="s">
        <v>45</v>
      </c>
      <c r="S24" t="s">
        <v>51</v>
      </c>
      <c r="T24" t="s">
        <v>43</v>
      </c>
      <c r="U24" t="s">
        <v>51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 x14ac:dyDescent="0.2">
      <c r="A25" t="s">
        <v>38</v>
      </c>
      <c r="B25">
        <v>36</v>
      </c>
      <c r="C25" t="s">
        <v>125</v>
      </c>
      <c r="D25" t="s">
        <v>47</v>
      </c>
      <c r="E25" t="s">
        <v>47</v>
      </c>
      <c r="F25" t="s">
        <v>47</v>
      </c>
      <c r="G25">
        <v>4</v>
      </c>
      <c r="H25">
        <v>41</v>
      </c>
      <c r="I25">
        <v>57</v>
      </c>
      <c r="J25">
        <v>43</v>
      </c>
      <c r="K25">
        <v>35</v>
      </c>
      <c r="L25">
        <v>66</v>
      </c>
      <c r="M25">
        <v>82</v>
      </c>
      <c r="N25" t="s">
        <v>43</v>
      </c>
      <c r="O25" t="s">
        <v>48</v>
      </c>
      <c r="P25" t="s">
        <v>42</v>
      </c>
      <c r="Q25" t="s">
        <v>43</v>
      </c>
      <c r="R25" t="s">
        <v>42</v>
      </c>
      <c r="S25" t="s">
        <v>45</v>
      </c>
      <c r="T25" t="s">
        <v>45</v>
      </c>
      <c r="U25" t="s">
        <v>44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3"/>
  <sheetViews>
    <sheetView workbookViewId="0"/>
  </sheetViews>
  <sheetFormatPr defaultRowHeight="13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 x14ac:dyDescent="0.2">
      <c r="A2" t="s">
        <v>126</v>
      </c>
      <c r="B2">
        <v>11</v>
      </c>
      <c r="C2" t="s">
        <v>127</v>
      </c>
      <c r="D2" t="s">
        <v>40</v>
      </c>
      <c r="E2" t="s">
        <v>47</v>
      </c>
      <c r="F2" t="s">
        <v>41</v>
      </c>
      <c r="G2">
        <v>157</v>
      </c>
      <c r="H2">
        <v>48</v>
      </c>
      <c r="I2">
        <v>37</v>
      </c>
      <c r="J2">
        <v>8</v>
      </c>
      <c r="K2" t="s">
        <v>42</v>
      </c>
      <c r="L2" t="s">
        <v>49</v>
      </c>
      <c r="M2" t="s">
        <v>51</v>
      </c>
      <c r="N2" t="s">
        <v>51</v>
      </c>
      <c r="O2" t="s">
        <v>44</v>
      </c>
      <c r="P2" t="s">
        <v>49</v>
      </c>
      <c r="Q2" t="s">
        <v>43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2">
      <c r="A3" t="s">
        <v>126</v>
      </c>
      <c r="B3">
        <v>12</v>
      </c>
      <c r="C3" t="s">
        <v>128</v>
      </c>
      <c r="D3" t="s">
        <v>47</v>
      </c>
      <c r="E3" t="s">
        <v>40</v>
      </c>
      <c r="F3" t="s">
        <v>41</v>
      </c>
      <c r="G3">
        <v>154</v>
      </c>
      <c r="H3">
        <v>41</v>
      </c>
      <c r="I3">
        <v>87</v>
      </c>
      <c r="J3">
        <v>3</v>
      </c>
      <c r="K3" t="s">
        <v>49</v>
      </c>
      <c r="L3" t="s">
        <v>44</v>
      </c>
      <c r="M3" t="s">
        <v>42</v>
      </c>
      <c r="N3" t="s">
        <v>51</v>
      </c>
      <c r="O3" t="s">
        <v>44</v>
      </c>
      <c r="P3" t="s">
        <v>49</v>
      </c>
      <c r="Q3" t="s">
        <v>45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2">
      <c r="A4" t="s">
        <v>126</v>
      </c>
      <c r="B4">
        <v>13</v>
      </c>
      <c r="C4" t="s">
        <v>129</v>
      </c>
      <c r="D4" t="s">
        <v>47</v>
      </c>
      <c r="E4" t="s">
        <v>47</v>
      </c>
      <c r="F4" t="s">
        <v>41</v>
      </c>
      <c r="G4">
        <v>155</v>
      </c>
      <c r="H4">
        <v>78</v>
      </c>
      <c r="I4">
        <v>34</v>
      </c>
      <c r="J4">
        <v>7</v>
      </c>
      <c r="K4" t="s">
        <v>45</v>
      </c>
      <c r="L4" t="s">
        <v>44</v>
      </c>
      <c r="M4" t="s">
        <v>45</v>
      </c>
      <c r="N4" t="s">
        <v>44</v>
      </c>
      <c r="O4" t="s">
        <v>43</v>
      </c>
      <c r="P4" t="s">
        <v>48</v>
      </c>
      <c r="Q4" t="s">
        <v>51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2">
      <c r="A5" t="s">
        <v>126</v>
      </c>
      <c r="B5">
        <v>14</v>
      </c>
      <c r="C5" t="s">
        <v>110</v>
      </c>
      <c r="D5" t="s">
        <v>47</v>
      </c>
      <c r="E5" t="s">
        <v>47</v>
      </c>
      <c r="F5" t="s">
        <v>41</v>
      </c>
      <c r="G5">
        <v>154</v>
      </c>
      <c r="H5">
        <v>64</v>
      </c>
      <c r="I5">
        <v>80</v>
      </c>
      <c r="J5">
        <v>7</v>
      </c>
      <c r="K5" t="s">
        <v>49</v>
      </c>
      <c r="L5" t="s">
        <v>49</v>
      </c>
      <c r="M5" t="s">
        <v>42</v>
      </c>
      <c r="N5" t="s">
        <v>49</v>
      </c>
      <c r="O5" t="s">
        <v>42</v>
      </c>
      <c r="P5" t="s">
        <v>42</v>
      </c>
      <c r="Q5" t="s">
        <v>43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2">
      <c r="A6" t="s">
        <v>126</v>
      </c>
      <c r="B6">
        <v>15</v>
      </c>
      <c r="C6" t="s">
        <v>130</v>
      </c>
      <c r="D6" t="s">
        <v>47</v>
      </c>
      <c r="E6" t="s">
        <v>47</v>
      </c>
      <c r="F6" t="s">
        <v>41</v>
      </c>
      <c r="G6">
        <v>140</v>
      </c>
      <c r="H6">
        <v>56</v>
      </c>
      <c r="I6">
        <v>72</v>
      </c>
      <c r="J6">
        <v>6</v>
      </c>
      <c r="K6" t="s">
        <v>48</v>
      </c>
      <c r="L6" t="s">
        <v>48</v>
      </c>
      <c r="M6" t="s">
        <v>45</v>
      </c>
      <c r="N6" t="s">
        <v>48</v>
      </c>
      <c r="O6" t="s">
        <v>43</v>
      </c>
      <c r="P6" t="s">
        <v>42</v>
      </c>
      <c r="Q6" t="s">
        <v>43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x14ac:dyDescent="0.2">
      <c r="A7" t="s">
        <v>126</v>
      </c>
      <c r="B7">
        <v>16</v>
      </c>
      <c r="C7" t="s">
        <v>131</v>
      </c>
      <c r="D7" t="s">
        <v>40</v>
      </c>
      <c r="E7" t="s">
        <v>47</v>
      </c>
      <c r="F7" t="s">
        <v>41</v>
      </c>
      <c r="G7">
        <v>158</v>
      </c>
      <c r="H7">
        <v>41</v>
      </c>
      <c r="I7">
        <v>44</v>
      </c>
      <c r="J7">
        <v>9</v>
      </c>
      <c r="K7" t="s">
        <v>48</v>
      </c>
      <c r="L7" t="s">
        <v>48</v>
      </c>
      <c r="M7" t="s">
        <v>45</v>
      </c>
      <c r="N7" t="s">
        <v>49</v>
      </c>
      <c r="O7" t="s">
        <v>49</v>
      </c>
      <c r="P7" t="s">
        <v>42</v>
      </c>
      <c r="Q7" t="s">
        <v>42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2">
      <c r="A8" t="s">
        <v>126</v>
      </c>
      <c r="B8">
        <v>17</v>
      </c>
      <c r="C8" t="s">
        <v>132</v>
      </c>
      <c r="D8" t="s">
        <v>47</v>
      </c>
      <c r="E8" t="s">
        <v>40</v>
      </c>
      <c r="F8" t="s">
        <v>56</v>
      </c>
      <c r="G8">
        <v>152</v>
      </c>
      <c r="H8">
        <v>52</v>
      </c>
      <c r="I8">
        <v>62</v>
      </c>
      <c r="J8">
        <v>5</v>
      </c>
      <c r="K8" t="s">
        <v>51</v>
      </c>
      <c r="L8" t="s">
        <v>43</v>
      </c>
      <c r="M8" t="s">
        <v>43</v>
      </c>
      <c r="N8" t="s">
        <v>44</v>
      </c>
      <c r="O8" t="s">
        <v>49</v>
      </c>
      <c r="P8" t="s">
        <v>43</v>
      </c>
      <c r="Q8" t="s">
        <v>51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2">
      <c r="A9" t="s">
        <v>126</v>
      </c>
      <c r="B9">
        <v>18</v>
      </c>
      <c r="C9" t="s">
        <v>133</v>
      </c>
      <c r="D9" t="s">
        <v>47</v>
      </c>
      <c r="E9" t="s">
        <v>47</v>
      </c>
      <c r="F9" t="s">
        <v>56</v>
      </c>
      <c r="G9">
        <v>145</v>
      </c>
      <c r="H9">
        <v>63</v>
      </c>
      <c r="I9">
        <v>75</v>
      </c>
      <c r="J9">
        <v>5</v>
      </c>
      <c r="K9" t="s">
        <v>51</v>
      </c>
      <c r="L9" t="s">
        <v>44</v>
      </c>
      <c r="M9" t="s">
        <v>48</v>
      </c>
      <c r="N9" t="s">
        <v>45</v>
      </c>
      <c r="O9" t="s">
        <v>42</v>
      </c>
      <c r="P9" t="s">
        <v>51</v>
      </c>
      <c r="Q9" t="s">
        <v>49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2">
      <c r="A10" t="s">
        <v>126</v>
      </c>
      <c r="B10">
        <v>19</v>
      </c>
      <c r="C10" t="s">
        <v>134</v>
      </c>
      <c r="D10" t="s">
        <v>47</v>
      </c>
      <c r="E10" t="s">
        <v>40</v>
      </c>
      <c r="F10" t="s">
        <v>56</v>
      </c>
      <c r="G10">
        <v>143</v>
      </c>
      <c r="H10">
        <v>47</v>
      </c>
      <c r="I10">
        <v>81</v>
      </c>
      <c r="J10">
        <v>3</v>
      </c>
      <c r="K10" t="s">
        <v>42</v>
      </c>
      <c r="L10" t="s">
        <v>42</v>
      </c>
      <c r="M10" t="s">
        <v>49</v>
      </c>
      <c r="N10" t="s">
        <v>42</v>
      </c>
      <c r="O10" t="s">
        <v>51</v>
      </c>
      <c r="P10" t="s">
        <v>43</v>
      </c>
      <c r="Q10" t="s">
        <v>49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2">
      <c r="A11" t="s">
        <v>126</v>
      </c>
      <c r="B11">
        <v>20</v>
      </c>
      <c r="C11" t="s">
        <v>135</v>
      </c>
      <c r="D11" t="s">
        <v>47</v>
      </c>
      <c r="E11" t="s">
        <v>40</v>
      </c>
      <c r="F11" t="s">
        <v>56</v>
      </c>
      <c r="G11">
        <v>158</v>
      </c>
      <c r="H11">
        <v>63</v>
      </c>
      <c r="I11">
        <v>37</v>
      </c>
      <c r="J11">
        <v>7</v>
      </c>
      <c r="K11" t="s">
        <v>42</v>
      </c>
      <c r="L11" t="s">
        <v>44</v>
      </c>
      <c r="M11" t="s">
        <v>45</v>
      </c>
      <c r="N11" t="s">
        <v>49</v>
      </c>
      <c r="O11" t="s">
        <v>42</v>
      </c>
      <c r="P11" t="s">
        <v>42</v>
      </c>
      <c r="Q11" t="s">
        <v>44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2">
      <c r="A12" t="s">
        <v>126</v>
      </c>
      <c r="B12">
        <v>21</v>
      </c>
      <c r="C12" t="s">
        <v>136</v>
      </c>
      <c r="D12" t="s">
        <v>40</v>
      </c>
      <c r="E12" t="s">
        <v>47</v>
      </c>
      <c r="F12" t="s">
        <v>56</v>
      </c>
      <c r="G12">
        <v>140</v>
      </c>
      <c r="H12">
        <v>70</v>
      </c>
      <c r="I12">
        <v>70</v>
      </c>
      <c r="J12">
        <v>9</v>
      </c>
      <c r="K12" t="s">
        <v>44</v>
      </c>
      <c r="L12" t="s">
        <v>44</v>
      </c>
      <c r="M12" t="s">
        <v>44</v>
      </c>
      <c r="N12" t="s">
        <v>45</v>
      </c>
      <c r="O12" t="s">
        <v>42</v>
      </c>
      <c r="P12" t="s">
        <v>44</v>
      </c>
      <c r="Q12" t="s">
        <v>42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2">
      <c r="A13" t="s">
        <v>126</v>
      </c>
      <c r="B13">
        <v>22</v>
      </c>
      <c r="C13" t="s">
        <v>137</v>
      </c>
      <c r="D13" t="s">
        <v>40</v>
      </c>
      <c r="E13" t="s">
        <v>47</v>
      </c>
      <c r="F13" t="s">
        <v>62</v>
      </c>
      <c r="G13">
        <v>146</v>
      </c>
      <c r="H13">
        <v>57</v>
      </c>
      <c r="I13">
        <v>30</v>
      </c>
      <c r="J13">
        <v>6</v>
      </c>
      <c r="K13" t="s">
        <v>49</v>
      </c>
      <c r="L13" t="s">
        <v>49</v>
      </c>
      <c r="M13" t="s">
        <v>45</v>
      </c>
      <c r="N13" t="s">
        <v>42</v>
      </c>
      <c r="O13" t="s">
        <v>44</v>
      </c>
      <c r="P13" t="s">
        <v>44</v>
      </c>
      <c r="Q13" t="s">
        <v>42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25"/>
  <sheetViews>
    <sheetView tabSelected="1" workbookViewId="0"/>
  </sheetViews>
  <sheetFormatPr defaultRowHeight="13" x14ac:dyDescent="0.2"/>
  <cols>
    <col min="42" max="42" width="10.7265625" bestFit="1" customWidth="1"/>
  </cols>
  <sheetData>
    <row r="1" spans="1:4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63</v>
      </c>
      <c r="G1" s="1" t="s">
        <v>64</v>
      </c>
      <c r="H1" s="1" t="s">
        <v>65</v>
      </c>
      <c r="I1" s="1" t="s">
        <v>66</v>
      </c>
      <c r="J1" s="1" t="s">
        <v>67</v>
      </c>
      <c r="K1" s="1" t="s">
        <v>68</v>
      </c>
      <c r="L1" s="1" t="s">
        <v>69</v>
      </c>
      <c r="M1" s="1" t="s">
        <v>70</v>
      </c>
      <c r="N1" s="1" t="s">
        <v>71</v>
      </c>
      <c r="O1" s="1" t="s">
        <v>72</v>
      </c>
      <c r="P1" s="1" t="s">
        <v>13</v>
      </c>
      <c r="Q1" s="1" t="s">
        <v>73</v>
      </c>
      <c r="R1" s="1" t="s">
        <v>74</v>
      </c>
      <c r="S1" s="1" t="s">
        <v>75</v>
      </c>
      <c r="T1" s="1" t="s">
        <v>16</v>
      </c>
      <c r="U1" s="1" t="s">
        <v>76</v>
      </c>
      <c r="V1" s="1" t="s">
        <v>77</v>
      </c>
      <c r="W1" s="1" t="s">
        <v>78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83</v>
      </c>
      <c r="AC1" s="1" t="s">
        <v>84</v>
      </c>
      <c r="AD1" s="1" t="s">
        <v>85</v>
      </c>
      <c r="AE1" s="1" t="s">
        <v>86</v>
      </c>
      <c r="AF1" s="1" t="s">
        <v>87</v>
      </c>
      <c r="AG1" s="1" t="s">
        <v>88</v>
      </c>
      <c r="AH1" s="1" t="s">
        <v>89</v>
      </c>
      <c r="AI1" s="1" t="s">
        <v>90</v>
      </c>
      <c r="AJ1" s="1" t="s">
        <v>91</v>
      </c>
      <c r="AK1" s="1" t="s">
        <v>92</v>
      </c>
      <c r="AL1" s="1" t="s">
        <v>93</v>
      </c>
      <c r="AM1" s="1" t="s">
        <v>94</v>
      </c>
      <c r="AN1" s="1" t="s">
        <v>95</v>
      </c>
    </row>
    <row r="2" spans="1:42" x14ac:dyDescent="0.2">
      <c r="A2" t="s">
        <v>126</v>
      </c>
      <c r="B2">
        <v>0</v>
      </c>
      <c r="C2" t="s">
        <v>138</v>
      </c>
      <c r="D2" t="s">
        <v>40</v>
      </c>
      <c r="E2" t="s">
        <v>40</v>
      </c>
      <c r="F2" t="s">
        <v>97</v>
      </c>
      <c r="G2">
        <v>3</v>
      </c>
      <c r="H2">
        <v>90</v>
      </c>
      <c r="I2">
        <v>46</v>
      </c>
      <c r="J2">
        <v>68</v>
      </c>
      <c r="K2">
        <v>42</v>
      </c>
      <c r="L2">
        <v>32</v>
      </c>
      <c r="M2">
        <v>76</v>
      </c>
      <c r="N2" t="s">
        <v>44</v>
      </c>
      <c r="O2" t="s">
        <v>44</v>
      </c>
      <c r="P2" t="s">
        <v>49</v>
      </c>
      <c r="Q2" t="s">
        <v>48</v>
      </c>
      <c r="R2" t="s">
        <v>49</v>
      </c>
      <c r="S2" t="s">
        <v>45</v>
      </c>
      <c r="T2" t="s">
        <v>51</v>
      </c>
      <c r="U2" t="s">
        <v>45</v>
      </c>
      <c r="V2">
        <v>0</v>
      </c>
      <c r="W2">
        <v>661</v>
      </c>
      <c r="X2">
        <v>628</v>
      </c>
      <c r="Y2">
        <v>221</v>
      </c>
      <c r="Z2">
        <v>201</v>
      </c>
      <c r="AA2">
        <v>17</v>
      </c>
      <c r="AB2">
        <v>3</v>
      </c>
      <c r="AC2">
        <v>0</v>
      </c>
      <c r="AD2">
        <v>0</v>
      </c>
      <c r="AE2">
        <v>27</v>
      </c>
      <c r="AF2">
        <v>6</v>
      </c>
      <c r="AG2">
        <v>103</v>
      </c>
      <c r="AH2">
        <v>0</v>
      </c>
      <c r="AI2">
        <v>0</v>
      </c>
      <c r="AJ2">
        <v>0</v>
      </c>
      <c r="AK2">
        <v>0</v>
      </c>
      <c r="AL2">
        <v>0</v>
      </c>
      <c r="AM2">
        <v>93</v>
      </c>
      <c r="AN2">
        <v>39</v>
      </c>
      <c r="AO2" s="2">
        <f>Y2/X2</f>
        <v>0.35191082802547768</v>
      </c>
      <c r="AP2" s="2">
        <f>(Z2+2*AA2+3*AB2+4*AC2)/X2+(Y2+AE2+AF2)/W2</f>
        <v>0.77280129508465267</v>
      </c>
    </row>
    <row r="3" spans="1:42" x14ac:dyDescent="0.2">
      <c r="A3" t="s">
        <v>126</v>
      </c>
      <c r="B3">
        <v>1</v>
      </c>
      <c r="C3" t="s">
        <v>139</v>
      </c>
      <c r="D3" t="s">
        <v>47</v>
      </c>
      <c r="E3" t="s">
        <v>47</v>
      </c>
      <c r="F3" t="s">
        <v>99</v>
      </c>
      <c r="G3">
        <v>3</v>
      </c>
      <c r="H3">
        <v>70</v>
      </c>
      <c r="I3">
        <v>32</v>
      </c>
      <c r="J3">
        <v>49</v>
      </c>
      <c r="K3">
        <v>51</v>
      </c>
      <c r="L3">
        <v>68</v>
      </c>
      <c r="M3">
        <v>46</v>
      </c>
      <c r="N3" t="s">
        <v>43</v>
      </c>
      <c r="O3" t="s">
        <v>43</v>
      </c>
      <c r="P3" t="s">
        <v>43</v>
      </c>
      <c r="Q3" t="s">
        <v>43</v>
      </c>
      <c r="R3" t="s">
        <v>43</v>
      </c>
      <c r="S3" t="s">
        <v>45</v>
      </c>
      <c r="T3" t="s">
        <v>44</v>
      </c>
      <c r="U3" t="s">
        <v>45</v>
      </c>
      <c r="V3">
        <v>0</v>
      </c>
      <c r="W3">
        <v>648</v>
      </c>
      <c r="X3">
        <v>630</v>
      </c>
      <c r="Y3">
        <v>167</v>
      </c>
      <c r="Z3">
        <v>156</v>
      </c>
      <c r="AA3">
        <v>11</v>
      </c>
      <c r="AB3">
        <v>0</v>
      </c>
      <c r="AC3">
        <v>0</v>
      </c>
      <c r="AD3">
        <v>0</v>
      </c>
      <c r="AE3">
        <v>13</v>
      </c>
      <c r="AF3">
        <v>5</v>
      </c>
      <c r="AG3">
        <v>124</v>
      </c>
      <c r="AH3">
        <v>0</v>
      </c>
      <c r="AI3">
        <v>0</v>
      </c>
      <c r="AJ3">
        <v>0</v>
      </c>
      <c r="AK3">
        <v>0</v>
      </c>
      <c r="AL3">
        <v>0</v>
      </c>
      <c r="AM3">
        <v>118</v>
      </c>
      <c r="AN3">
        <v>29</v>
      </c>
      <c r="AO3" s="2">
        <f t="shared" ref="AO3:AO10" si="0">Y3/X3</f>
        <v>0.26507936507936508</v>
      </c>
      <c r="AP3" s="2">
        <f t="shared" ref="AP3:AP10" si="1">(Z3+2*AA3+3*AB3+4*AC3)/X3+(Y3+AE3+AF3)/W3</f>
        <v>0.5680335097001763</v>
      </c>
    </row>
    <row r="4" spans="1:42" x14ac:dyDescent="0.2">
      <c r="A4" t="s">
        <v>126</v>
      </c>
      <c r="B4">
        <v>2</v>
      </c>
      <c r="C4" t="s">
        <v>140</v>
      </c>
      <c r="D4" t="s">
        <v>47</v>
      </c>
      <c r="E4" t="s">
        <v>40</v>
      </c>
      <c r="F4" t="s">
        <v>101</v>
      </c>
      <c r="G4">
        <v>1</v>
      </c>
      <c r="H4">
        <v>74</v>
      </c>
      <c r="I4">
        <v>56</v>
      </c>
      <c r="J4">
        <v>71</v>
      </c>
      <c r="K4">
        <v>67</v>
      </c>
      <c r="L4">
        <v>48</v>
      </c>
      <c r="M4">
        <v>78</v>
      </c>
      <c r="N4" t="s">
        <v>43</v>
      </c>
      <c r="O4" t="s">
        <v>48</v>
      </c>
      <c r="P4" t="s">
        <v>42</v>
      </c>
      <c r="Q4" t="s">
        <v>43</v>
      </c>
      <c r="R4" t="s">
        <v>44</v>
      </c>
      <c r="S4" t="s">
        <v>51</v>
      </c>
      <c r="T4" t="s">
        <v>48</v>
      </c>
      <c r="U4" t="s">
        <v>49</v>
      </c>
      <c r="V4">
        <v>0</v>
      </c>
      <c r="W4">
        <v>636</v>
      </c>
      <c r="X4">
        <v>607</v>
      </c>
      <c r="Y4">
        <v>193</v>
      </c>
      <c r="Z4">
        <v>158</v>
      </c>
      <c r="AA4">
        <v>25</v>
      </c>
      <c r="AB4">
        <v>9</v>
      </c>
      <c r="AC4">
        <v>1</v>
      </c>
      <c r="AD4">
        <v>0</v>
      </c>
      <c r="AE4">
        <v>22</v>
      </c>
      <c r="AF4">
        <v>7</v>
      </c>
      <c r="AG4">
        <v>99</v>
      </c>
      <c r="AH4">
        <v>0</v>
      </c>
      <c r="AI4">
        <v>0</v>
      </c>
      <c r="AJ4">
        <v>0</v>
      </c>
      <c r="AK4">
        <v>0</v>
      </c>
      <c r="AL4">
        <v>0</v>
      </c>
      <c r="AM4">
        <v>139</v>
      </c>
      <c r="AN4">
        <v>40</v>
      </c>
      <c r="AO4" s="2">
        <f t="shared" si="0"/>
        <v>0.31795716639209226</v>
      </c>
      <c r="AP4" s="2">
        <f t="shared" si="1"/>
        <v>0.74279630723322243</v>
      </c>
    </row>
    <row r="5" spans="1:42" x14ac:dyDescent="0.2">
      <c r="A5" t="s">
        <v>126</v>
      </c>
      <c r="B5">
        <v>3</v>
      </c>
      <c r="C5" t="s">
        <v>141</v>
      </c>
      <c r="D5" t="s">
        <v>40</v>
      </c>
      <c r="E5" t="s">
        <v>40</v>
      </c>
      <c r="F5" t="s">
        <v>103</v>
      </c>
      <c r="G5">
        <v>1</v>
      </c>
      <c r="H5">
        <v>56</v>
      </c>
      <c r="I5">
        <v>81</v>
      </c>
      <c r="J5">
        <v>61</v>
      </c>
      <c r="K5">
        <v>55</v>
      </c>
      <c r="L5">
        <v>31</v>
      </c>
      <c r="M5">
        <v>71</v>
      </c>
      <c r="N5" t="s">
        <v>49</v>
      </c>
      <c r="O5" t="s">
        <v>42</v>
      </c>
      <c r="P5" t="s">
        <v>51</v>
      </c>
      <c r="Q5" t="s">
        <v>49</v>
      </c>
      <c r="R5" t="s">
        <v>45</v>
      </c>
      <c r="S5" t="s">
        <v>44</v>
      </c>
      <c r="T5" t="s">
        <v>49</v>
      </c>
      <c r="U5" t="s">
        <v>42</v>
      </c>
      <c r="V5">
        <v>0</v>
      </c>
      <c r="W5">
        <v>624</v>
      </c>
      <c r="X5">
        <v>574</v>
      </c>
      <c r="Y5">
        <v>170</v>
      </c>
      <c r="Z5">
        <v>123</v>
      </c>
      <c r="AA5">
        <v>13</v>
      </c>
      <c r="AB5">
        <v>6</v>
      </c>
      <c r="AC5">
        <v>28</v>
      </c>
      <c r="AD5">
        <v>0</v>
      </c>
      <c r="AE5">
        <v>43</v>
      </c>
      <c r="AF5">
        <v>7</v>
      </c>
      <c r="AG5">
        <v>104</v>
      </c>
      <c r="AH5">
        <v>0</v>
      </c>
      <c r="AI5">
        <v>0</v>
      </c>
      <c r="AJ5">
        <v>0</v>
      </c>
      <c r="AK5">
        <v>0</v>
      </c>
      <c r="AL5">
        <v>0</v>
      </c>
      <c r="AM5">
        <v>174</v>
      </c>
      <c r="AN5">
        <v>52</v>
      </c>
      <c r="AO5" s="2">
        <f t="shared" si="0"/>
        <v>0.29616724738675959</v>
      </c>
      <c r="AP5" s="2">
        <f t="shared" si="1"/>
        <v>0.83862682033413738</v>
      </c>
    </row>
    <row r="6" spans="1:42" x14ac:dyDescent="0.2">
      <c r="A6" t="s">
        <v>126</v>
      </c>
      <c r="B6">
        <v>4</v>
      </c>
      <c r="C6" t="s">
        <v>142</v>
      </c>
      <c r="D6" t="s">
        <v>40</v>
      </c>
      <c r="E6" t="s">
        <v>40</v>
      </c>
      <c r="F6" t="s">
        <v>105</v>
      </c>
      <c r="G6">
        <v>2</v>
      </c>
      <c r="H6">
        <v>37</v>
      </c>
      <c r="I6">
        <v>70</v>
      </c>
      <c r="J6">
        <v>83</v>
      </c>
      <c r="K6">
        <v>71</v>
      </c>
      <c r="L6">
        <v>83</v>
      </c>
      <c r="M6">
        <v>52</v>
      </c>
      <c r="N6" t="s">
        <v>44</v>
      </c>
      <c r="O6" t="s">
        <v>42</v>
      </c>
      <c r="P6" t="s">
        <v>51</v>
      </c>
      <c r="Q6" t="s">
        <v>43</v>
      </c>
      <c r="R6" t="s">
        <v>45</v>
      </c>
      <c r="S6" t="s">
        <v>43</v>
      </c>
      <c r="T6" t="s">
        <v>48</v>
      </c>
      <c r="U6" t="s">
        <v>44</v>
      </c>
      <c r="V6">
        <v>0</v>
      </c>
      <c r="W6">
        <v>603</v>
      </c>
      <c r="X6">
        <v>568</v>
      </c>
      <c r="Y6">
        <v>140</v>
      </c>
      <c r="Z6">
        <v>92</v>
      </c>
      <c r="AA6">
        <v>22</v>
      </c>
      <c r="AB6">
        <v>9</v>
      </c>
      <c r="AC6">
        <v>17</v>
      </c>
      <c r="AD6">
        <v>0</v>
      </c>
      <c r="AE6">
        <v>29</v>
      </c>
      <c r="AF6">
        <v>6</v>
      </c>
      <c r="AG6">
        <v>97</v>
      </c>
      <c r="AH6">
        <v>0</v>
      </c>
      <c r="AI6">
        <v>0</v>
      </c>
      <c r="AJ6">
        <v>0</v>
      </c>
      <c r="AK6">
        <v>0</v>
      </c>
      <c r="AL6">
        <v>0</v>
      </c>
      <c r="AM6">
        <v>157</v>
      </c>
      <c r="AN6">
        <v>31</v>
      </c>
      <c r="AO6" s="2">
        <f t="shared" si="0"/>
        <v>0.24647887323943662</v>
      </c>
      <c r="AP6" s="2">
        <f t="shared" si="1"/>
        <v>0.6969057295681218</v>
      </c>
    </row>
    <row r="7" spans="1:42" x14ac:dyDescent="0.2">
      <c r="A7" t="s">
        <v>126</v>
      </c>
      <c r="B7">
        <v>5</v>
      </c>
      <c r="C7" t="s">
        <v>143</v>
      </c>
      <c r="D7" t="s">
        <v>47</v>
      </c>
      <c r="E7" t="s">
        <v>47</v>
      </c>
      <c r="F7" t="s">
        <v>40</v>
      </c>
      <c r="G7">
        <v>4</v>
      </c>
      <c r="H7">
        <v>39</v>
      </c>
      <c r="I7">
        <v>83</v>
      </c>
      <c r="J7">
        <v>34</v>
      </c>
      <c r="K7">
        <v>64</v>
      </c>
      <c r="L7">
        <v>51</v>
      </c>
      <c r="M7">
        <v>56</v>
      </c>
      <c r="N7" t="s">
        <v>49</v>
      </c>
      <c r="O7" t="s">
        <v>44</v>
      </c>
      <c r="P7" t="s">
        <v>51</v>
      </c>
      <c r="Q7" t="s">
        <v>48</v>
      </c>
      <c r="R7" t="s">
        <v>48</v>
      </c>
      <c r="S7" t="s">
        <v>49</v>
      </c>
      <c r="T7" t="s">
        <v>49</v>
      </c>
      <c r="U7" t="s">
        <v>49</v>
      </c>
      <c r="V7">
        <v>0</v>
      </c>
      <c r="W7">
        <v>550</v>
      </c>
      <c r="X7">
        <v>483</v>
      </c>
      <c r="Y7">
        <v>112</v>
      </c>
      <c r="Z7">
        <v>50</v>
      </c>
      <c r="AA7">
        <v>28</v>
      </c>
      <c r="AB7">
        <v>0</v>
      </c>
      <c r="AC7">
        <v>34</v>
      </c>
      <c r="AD7">
        <v>0</v>
      </c>
      <c r="AE7">
        <v>63</v>
      </c>
      <c r="AF7">
        <v>4</v>
      </c>
      <c r="AG7">
        <v>96</v>
      </c>
      <c r="AH7">
        <v>0</v>
      </c>
      <c r="AI7">
        <v>0</v>
      </c>
      <c r="AJ7">
        <v>0</v>
      </c>
      <c r="AK7">
        <v>0</v>
      </c>
      <c r="AL7">
        <v>0</v>
      </c>
      <c r="AM7">
        <v>88</v>
      </c>
      <c r="AN7">
        <v>16</v>
      </c>
      <c r="AO7" s="2">
        <f t="shared" si="0"/>
        <v>0.2318840579710145</v>
      </c>
      <c r="AP7" s="2">
        <f t="shared" si="1"/>
        <v>0.82648974214191606</v>
      </c>
    </row>
    <row r="8" spans="1:42" x14ac:dyDescent="0.2">
      <c r="A8" t="s">
        <v>126</v>
      </c>
      <c r="B8">
        <v>6</v>
      </c>
      <c r="C8" t="s">
        <v>144</v>
      </c>
      <c r="D8" t="s">
        <v>47</v>
      </c>
      <c r="E8" t="s">
        <v>40</v>
      </c>
      <c r="F8" t="s">
        <v>108</v>
      </c>
      <c r="G8">
        <v>1</v>
      </c>
      <c r="H8">
        <v>42</v>
      </c>
      <c r="I8">
        <v>31</v>
      </c>
      <c r="J8">
        <v>51</v>
      </c>
      <c r="K8">
        <v>34</v>
      </c>
      <c r="L8">
        <v>60</v>
      </c>
      <c r="M8">
        <v>56</v>
      </c>
      <c r="N8" t="s">
        <v>49</v>
      </c>
      <c r="O8" t="s">
        <v>51</v>
      </c>
      <c r="P8" t="s">
        <v>51</v>
      </c>
      <c r="Q8" t="s">
        <v>42</v>
      </c>
      <c r="R8" t="s">
        <v>49</v>
      </c>
      <c r="S8" t="s">
        <v>43</v>
      </c>
      <c r="T8" t="s">
        <v>43</v>
      </c>
      <c r="U8" t="s">
        <v>43</v>
      </c>
      <c r="V8">
        <v>0</v>
      </c>
      <c r="W8">
        <v>568</v>
      </c>
      <c r="X8">
        <v>559</v>
      </c>
      <c r="Y8">
        <v>109</v>
      </c>
      <c r="Z8">
        <v>103</v>
      </c>
      <c r="AA8">
        <v>5</v>
      </c>
      <c r="AB8">
        <v>1</v>
      </c>
      <c r="AC8">
        <v>0</v>
      </c>
      <c r="AD8">
        <v>0</v>
      </c>
      <c r="AE8">
        <v>1</v>
      </c>
      <c r="AF8">
        <v>8</v>
      </c>
      <c r="AG8">
        <v>111</v>
      </c>
      <c r="AH8">
        <v>0</v>
      </c>
      <c r="AI8">
        <v>0</v>
      </c>
      <c r="AJ8">
        <v>0</v>
      </c>
      <c r="AK8">
        <v>0</v>
      </c>
      <c r="AL8">
        <v>0</v>
      </c>
      <c r="AM8">
        <v>104</v>
      </c>
      <c r="AN8">
        <v>18</v>
      </c>
      <c r="AO8" s="2">
        <f t="shared" si="0"/>
        <v>0.19499105545617174</v>
      </c>
      <c r="AP8" s="2">
        <f t="shared" si="1"/>
        <v>0.41525989568898181</v>
      </c>
    </row>
    <row r="9" spans="1:42" x14ac:dyDescent="0.2">
      <c r="A9" t="s">
        <v>126</v>
      </c>
      <c r="B9">
        <v>7</v>
      </c>
      <c r="C9" t="s">
        <v>145</v>
      </c>
      <c r="D9" t="s">
        <v>47</v>
      </c>
      <c r="E9" t="s">
        <v>40</v>
      </c>
      <c r="F9" t="s">
        <v>47</v>
      </c>
      <c r="G9">
        <v>2</v>
      </c>
      <c r="H9">
        <v>57</v>
      </c>
      <c r="I9">
        <v>34</v>
      </c>
      <c r="J9">
        <v>48</v>
      </c>
      <c r="K9">
        <v>44</v>
      </c>
      <c r="L9">
        <v>84</v>
      </c>
      <c r="M9">
        <v>41</v>
      </c>
      <c r="N9" t="s">
        <v>51</v>
      </c>
      <c r="O9" t="s">
        <v>45</v>
      </c>
      <c r="P9" t="s">
        <v>44</v>
      </c>
      <c r="Q9" t="s">
        <v>48</v>
      </c>
      <c r="R9" t="s">
        <v>42</v>
      </c>
      <c r="S9" t="s">
        <v>49</v>
      </c>
      <c r="T9" t="s">
        <v>43</v>
      </c>
      <c r="U9" t="s">
        <v>51</v>
      </c>
      <c r="V9">
        <v>0</v>
      </c>
      <c r="W9">
        <v>590</v>
      </c>
      <c r="X9">
        <v>570</v>
      </c>
      <c r="Y9">
        <v>126</v>
      </c>
      <c r="Z9">
        <v>119</v>
      </c>
      <c r="AA9">
        <v>7</v>
      </c>
      <c r="AB9">
        <v>0</v>
      </c>
      <c r="AC9">
        <v>0</v>
      </c>
      <c r="AD9">
        <v>0</v>
      </c>
      <c r="AE9">
        <v>16</v>
      </c>
      <c r="AF9">
        <v>4</v>
      </c>
      <c r="AG9">
        <v>120</v>
      </c>
      <c r="AH9">
        <v>0</v>
      </c>
      <c r="AI9">
        <v>0</v>
      </c>
      <c r="AJ9">
        <v>0</v>
      </c>
      <c r="AK9">
        <v>0</v>
      </c>
      <c r="AL9">
        <v>0</v>
      </c>
      <c r="AM9">
        <v>120</v>
      </c>
      <c r="AN9">
        <v>24</v>
      </c>
      <c r="AO9" s="2">
        <f t="shared" si="0"/>
        <v>0.22105263157894736</v>
      </c>
      <c r="AP9" s="2">
        <f t="shared" si="1"/>
        <v>0.48079096045197744</v>
      </c>
    </row>
    <row r="10" spans="1:42" x14ac:dyDescent="0.2">
      <c r="A10" t="s">
        <v>126</v>
      </c>
      <c r="B10">
        <v>8</v>
      </c>
      <c r="C10" t="s">
        <v>146</v>
      </c>
      <c r="D10" t="s">
        <v>40</v>
      </c>
      <c r="E10" t="s">
        <v>40</v>
      </c>
      <c r="F10" t="s">
        <v>97</v>
      </c>
      <c r="G10">
        <v>2</v>
      </c>
      <c r="H10">
        <v>55</v>
      </c>
      <c r="I10">
        <v>45</v>
      </c>
      <c r="J10">
        <v>61</v>
      </c>
      <c r="K10">
        <v>77</v>
      </c>
      <c r="L10">
        <v>67</v>
      </c>
      <c r="M10">
        <v>90</v>
      </c>
      <c r="N10" t="s">
        <v>48</v>
      </c>
      <c r="O10" t="s">
        <v>44</v>
      </c>
      <c r="P10" t="s">
        <v>43</v>
      </c>
      <c r="Q10" t="s">
        <v>48</v>
      </c>
      <c r="R10" t="s">
        <v>44</v>
      </c>
      <c r="S10" t="s">
        <v>45</v>
      </c>
      <c r="T10" t="s">
        <v>45</v>
      </c>
      <c r="U10" t="s">
        <v>49</v>
      </c>
      <c r="V10">
        <v>0</v>
      </c>
      <c r="W10">
        <v>538</v>
      </c>
      <c r="X10">
        <v>518</v>
      </c>
      <c r="Y10">
        <v>119</v>
      </c>
      <c r="Z10">
        <v>101</v>
      </c>
      <c r="AA10">
        <v>16</v>
      </c>
      <c r="AB10">
        <v>2</v>
      </c>
      <c r="AC10">
        <v>0</v>
      </c>
      <c r="AD10">
        <v>0</v>
      </c>
      <c r="AE10">
        <v>13</v>
      </c>
      <c r="AF10">
        <v>7</v>
      </c>
      <c r="AG10">
        <v>90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100</v>
      </c>
      <c r="AN10">
        <v>22</v>
      </c>
      <c r="AO10" s="2">
        <f t="shared" si="0"/>
        <v>0.22972972972972974</v>
      </c>
      <c r="AP10" s="2">
        <f t="shared" si="1"/>
        <v>0.52670408060742635</v>
      </c>
    </row>
    <row r="11" spans="1:42" x14ac:dyDescent="0.2">
      <c r="A11" t="s">
        <v>126</v>
      </c>
      <c r="B11">
        <v>9</v>
      </c>
      <c r="C11" t="s">
        <v>147</v>
      </c>
      <c r="D11" t="s">
        <v>47</v>
      </c>
      <c r="E11" t="s">
        <v>47</v>
      </c>
      <c r="F11" t="s">
        <v>99</v>
      </c>
      <c r="G11">
        <v>3</v>
      </c>
      <c r="H11">
        <v>82</v>
      </c>
      <c r="I11">
        <v>60</v>
      </c>
      <c r="J11">
        <v>57</v>
      </c>
      <c r="K11">
        <v>44</v>
      </c>
      <c r="L11">
        <v>51</v>
      </c>
      <c r="M11">
        <v>76</v>
      </c>
      <c r="N11" t="s">
        <v>49</v>
      </c>
      <c r="O11" t="s">
        <v>48</v>
      </c>
      <c r="P11" t="s">
        <v>43</v>
      </c>
      <c r="Q11" t="s">
        <v>42</v>
      </c>
      <c r="R11" t="s">
        <v>48</v>
      </c>
      <c r="S11" t="s">
        <v>43</v>
      </c>
      <c r="T11" t="s">
        <v>51</v>
      </c>
      <c r="U11" t="s">
        <v>49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</row>
    <row r="12" spans="1:42" x14ac:dyDescent="0.2">
      <c r="A12" t="s">
        <v>126</v>
      </c>
      <c r="B12">
        <v>23</v>
      </c>
      <c r="C12" t="s">
        <v>113</v>
      </c>
      <c r="D12" t="s">
        <v>40</v>
      </c>
      <c r="E12" t="s">
        <v>40</v>
      </c>
      <c r="F12" t="s">
        <v>101</v>
      </c>
      <c r="G12">
        <v>3</v>
      </c>
      <c r="H12">
        <v>63</v>
      </c>
      <c r="I12">
        <v>86</v>
      </c>
      <c r="J12">
        <v>89</v>
      </c>
      <c r="K12">
        <v>54</v>
      </c>
      <c r="L12">
        <v>64</v>
      </c>
      <c r="M12">
        <v>84</v>
      </c>
      <c r="N12" t="s">
        <v>48</v>
      </c>
      <c r="O12" t="s">
        <v>49</v>
      </c>
      <c r="P12" t="s">
        <v>49</v>
      </c>
      <c r="Q12" t="s">
        <v>49</v>
      </c>
      <c r="R12" t="s">
        <v>42</v>
      </c>
      <c r="S12" t="s">
        <v>43</v>
      </c>
      <c r="T12" t="s">
        <v>43</v>
      </c>
      <c r="U12" t="s">
        <v>49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2" x14ac:dyDescent="0.2">
      <c r="A13" t="s">
        <v>126</v>
      </c>
      <c r="B13">
        <v>24</v>
      </c>
      <c r="C13" t="s">
        <v>148</v>
      </c>
      <c r="D13" t="s">
        <v>40</v>
      </c>
      <c r="E13" t="s">
        <v>40</v>
      </c>
      <c r="F13" t="s">
        <v>103</v>
      </c>
      <c r="G13">
        <v>1</v>
      </c>
      <c r="H13">
        <v>44</v>
      </c>
      <c r="I13">
        <v>62</v>
      </c>
      <c r="J13">
        <v>87</v>
      </c>
      <c r="K13">
        <v>41</v>
      </c>
      <c r="L13">
        <v>44</v>
      </c>
      <c r="M13">
        <v>60</v>
      </c>
      <c r="N13" t="s">
        <v>45</v>
      </c>
      <c r="O13" t="s">
        <v>51</v>
      </c>
      <c r="P13" t="s">
        <v>49</v>
      </c>
      <c r="Q13" t="s">
        <v>45</v>
      </c>
      <c r="R13" t="s">
        <v>49</v>
      </c>
      <c r="S13" t="s">
        <v>43</v>
      </c>
      <c r="T13" t="s">
        <v>43</v>
      </c>
      <c r="U13" t="s">
        <v>48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2" x14ac:dyDescent="0.2">
      <c r="A14" t="s">
        <v>126</v>
      </c>
      <c r="B14">
        <v>25</v>
      </c>
      <c r="C14" t="s">
        <v>149</v>
      </c>
      <c r="D14" t="s">
        <v>40</v>
      </c>
      <c r="E14" t="s">
        <v>47</v>
      </c>
      <c r="F14" t="s">
        <v>105</v>
      </c>
      <c r="G14">
        <v>4</v>
      </c>
      <c r="H14">
        <v>45</v>
      </c>
      <c r="I14">
        <v>89</v>
      </c>
      <c r="J14">
        <v>81</v>
      </c>
      <c r="K14">
        <v>33</v>
      </c>
      <c r="L14">
        <v>48</v>
      </c>
      <c r="M14">
        <v>83</v>
      </c>
      <c r="N14" t="s">
        <v>43</v>
      </c>
      <c r="O14" t="s">
        <v>44</v>
      </c>
      <c r="P14" t="s">
        <v>48</v>
      </c>
      <c r="Q14" t="s">
        <v>45</v>
      </c>
      <c r="R14" t="s">
        <v>43</v>
      </c>
      <c r="S14" t="s">
        <v>49</v>
      </c>
      <c r="T14" t="s">
        <v>43</v>
      </c>
      <c r="U14" t="s">
        <v>48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2" x14ac:dyDescent="0.2">
      <c r="A15" t="s">
        <v>126</v>
      </c>
      <c r="B15">
        <v>26</v>
      </c>
      <c r="C15" t="s">
        <v>150</v>
      </c>
      <c r="D15" t="s">
        <v>40</v>
      </c>
      <c r="E15" t="s">
        <v>40</v>
      </c>
      <c r="F15" t="s">
        <v>40</v>
      </c>
      <c r="G15">
        <v>3</v>
      </c>
      <c r="H15">
        <v>51</v>
      </c>
      <c r="I15">
        <v>47</v>
      </c>
      <c r="J15">
        <v>58</v>
      </c>
      <c r="K15">
        <v>32</v>
      </c>
      <c r="L15">
        <v>64</v>
      </c>
      <c r="M15">
        <v>68</v>
      </c>
      <c r="N15" t="s">
        <v>48</v>
      </c>
      <c r="O15" t="s">
        <v>48</v>
      </c>
      <c r="P15" t="s">
        <v>44</v>
      </c>
      <c r="Q15" t="s">
        <v>42</v>
      </c>
      <c r="R15" t="s">
        <v>49</v>
      </c>
      <c r="S15" t="s">
        <v>44</v>
      </c>
      <c r="T15" t="s">
        <v>44</v>
      </c>
      <c r="U15" t="s">
        <v>42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2" x14ac:dyDescent="0.2">
      <c r="A16" t="s">
        <v>126</v>
      </c>
      <c r="B16">
        <v>27</v>
      </c>
      <c r="C16" t="s">
        <v>151</v>
      </c>
      <c r="D16" t="s">
        <v>40</v>
      </c>
      <c r="E16" t="s">
        <v>40</v>
      </c>
      <c r="F16" t="s">
        <v>108</v>
      </c>
      <c r="G16">
        <v>1</v>
      </c>
      <c r="H16">
        <v>77</v>
      </c>
      <c r="I16">
        <v>39</v>
      </c>
      <c r="J16">
        <v>84</v>
      </c>
      <c r="K16">
        <v>81</v>
      </c>
      <c r="L16">
        <v>44</v>
      </c>
      <c r="M16">
        <v>63</v>
      </c>
      <c r="N16" t="s">
        <v>51</v>
      </c>
      <c r="O16" t="s">
        <v>49</v>
      </c>
      <c r="P16" t="s">
        <v>49</v>
      </c>
      <c r="Q16" t="s">
        <v>48</v>
      </c>
      <c r="R16" t="s">
        <v>51</v>
      </c>
      <c r="S16" t="s">
        <v>42</v>
      </c>
      <c r="T16" t="s">
        <v>44</v>
      </c>
      <c r="U16" t="s">
        <v>48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 x14ac:dyDescent="0.2">
      <c r="A17" t="s">
        <v>126</v>
      </c>
      <c r="B17">
        <v>28</v>
      </c>
      <c r="C17" t="s">
        <v>152</v>
      </c>
      <c r="D17" t="s">
        <v>47</v>
      </c>
      <c r="E17" t="s">
        <v>47</v>
      </c>
      <c r="F17" t="s">
        <v>47</v>
      </c>
      <c r="G17">
        <v>3</v>
      </c>
      <c r="H17">
        <v>47</v>
      </c>
      <c r="I17">
        <v>38</v>
      </c>
      <c r="J17">
        <v>87</v>
      </c>
      <c r="K17">
        <v>61</v>
      </c>
      <c r="L17">
        <v>53</v>
      </c>
      <c r="M17">
        <v>49</v>
      </c>
      <c r="N17" t="s">
        <v>51</v>
      </c>
      <c r="O17" t="s">
        <v>51</v>
      </c>
      <c r="P17" t="s">
        <v>49</v>
      </c>
      <c r="Q17" t="s">
        <v>49</v>
      </c>
      <c r="R17" t="s">
        <v>42</v>
      </c>
      <c r="S17" t="s">
        <v>51</v>
      </c>
      <c r="T17" t="s">
        <v>42</v>
      </c>
      <c r="U17" t="s">
        <v>48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 x14ac:dyDescent="0.2">
      <c r="A18" t="s">
        <v>126</v>
      </c>
      <c r="B18">
        <v>29</v>
      </c>
      <c r="C18" t="s">
        <v>153</v>
      </c>
      <c r="D18" t="s">
        <v>40</v>
      </c>
      <c r="E18" t="s">
        <v>40</v>
      </c>
      <c r="F18" t="s">
        <v>97</v>
      </c>
      <c r="G18">
        <v>1</v>
      </c>
      <c r="H18">
        <v>73</v>
      </c>
      <c r="I18">
        <v>37</v>
      </c>
      <c r="J18">
        <v>40</v>
      </c>
      <c r="K18">
        <v>58</v>
      </c>
      <c r="L18">
        <v>70</v>
      </c>
      <c r="M18">
        <v>90</v>
      </c>
      <c r="N18" t="s">
        <v>44</v>
      </c>
      <c r="O18" t="s">
        <v>45</v>
      </c>
      <c r="P18" t="s">
        <v>51</v>
      </c>
      <c r="Q18" t="s">
        <v>44</v>
      </c>
      <c r="R18" t="s">
        <v>51</v>
      </c>
      <c r="S18" t="s">
        <v>51</v>
      </c>
      <c r="T18" t="s">
        <v>48</v>
      </c>
      <c r="U18" t="s">
        <v>51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 x14ac:dyDescent="0.2">
      <c r="A19" t="s">
        <v>126</v>
      </c>
      <c r="B19">
        <v>30</v>
      </c>
      <c r="C19" t="s">
        <v>154</v>
      </c>
      <c r="D19" t="s">
        <v>40</v>
      </c>
      <c r="E19" t="s">
        <v>40</v>
      </c>
      <c r="F19" t="s">
        <v>99</v>
      </c>
      <c r="G19">
        <v>4</v>
      </c>
      <c r="H19">
        <v>88</v>
      </c>
      <c r="I19">
        <v>31</v>
      </c>
      <c r="J19">
        <v>40</v>
      </c>
      <c r="K19">
        <v>68</v>
      </c>
      <c r="L19">
        <v>34</v>
      </c>
      <c r="M19">
        <v>68</v>
      </c>
      <c r="N19" t="s">
        <v>42</v>
      </c>
      <c r="O19" t="s">
        <v>51</v>
      </c>
      <c r="P19" t="s">
        <v>51</v>
      </c>
      <c r="Q19" t="s">
        <v>51</v>
      </c>
      <c r="R19" t="s">
        <v>45</v>
      </c>
      <c r="S19" t="s">
        <v>45</v>
      </c>
      <c r="T19" t="s">
        <v>44</v>
      </c>
      <c r="U19" t="s">
        <v>51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 x14ac:dyDescent="0.2">
      <c r="A20" t="s">
        <v>126</v>
      </c>
      <c r="B20">
        <v>31</v>
      </c>
      <c r="C20" t="s">
        <v>155</v>
      </c>
      <c r="D20" t="s">
        <v>40</v>
      </c>
      <c r="E20" t="s">
        <v>47</v>
      </c>
      <c r="F20" t="s">
        <v>101</v>
      </c>
      <c r="G20">
        <v>4</v>
      </c>
      <c r="H20">
        <v>59</v>
      </c>
      <c r="I20">
        <v>54</v>
      </c>
      <c r="J20">
        <v>36</v>
      </c>
      <c r="K20">
        <v>38</v>
      </c>
      <c r="L20">
        <v>50</v>
      </c>
      <c r="M20">
        <v>68</v>
      </c>
      <c r="N20" t="s">
        <v>51</v>
      </c>
      <c r="O20" t="s">
        <v>43</v>
      </c>
      <c r="P20" t="s">
        <v>49</v>
      </c>
      <c r="Q20" t="s">
        <v>42</v>
      </c>
      <c r="R20" t="s">
        <v>48</v>
      </c>
      <c r="S20" t="s">
        <v>44</v>
      </c>
      <c r="T20" t="s">
        <v>43</v>
      </c>
      <c r="U20" t="s">
        <v>42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 x14ac:dyDescent="0.2">
      <c r="A21" t="s">
        <v>126</v>
      </c>
      <c r="B21">
        <v>32</v>
      </c>
      <c r="C21" t="s">
        <v>156</v>
      </c>
      <c r="D21" t="s">
        <v>47</v>
      </c>
      <c r="E21" t="s">
        <v>47</v>
      </c>
      <c r="F21" t="s">
        <v>103</v>
      </c>
      <c r="G21">
        <v>4</v>
      </c>
      <c r="H21">
        <v>52</v>
      </c>
      <c r="I21">
        <v>79</v>
      </c>
      <c r="J21">
        <v>69</v>
      </c>
      <c r="K21">
        <v>87</v>
      </c>
      <c r="L21">
        <v>54</v>
      </c>
      <c r="M21">
        <v>33</v>
      </c>
      <c r="N21" t="s">
        <v>48</v>
      </c>
      <c r="O21" t="s">
        <v>42</v>
      </c>
      <c r="P21" t="s">
        <v>49</v>
      </c>
      <c r="Q21" t="s">
        <v>51</v>
      </c>
      <c r="R21" t="s">
        <v>44</v>
      </c>
      <c r="S21" t="s">
        <v>49</v>
      </c>
      <c r="T21" t="s">
        <v>51</v>
      </c>
      <c r="U21" t="s">
        <v>42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 x14ac:dyDescent="0.2">
      <c r="A22" t="s">
        <v>126</v>
      </c>
      <c r="B22">
        <v>33</v>
      </c>
      <c r="C22" t="s">
        <v>157</v>
      </c>
      <c r="D22" t="s">
        <v>47</v>
      </c>
      <c r="E22" t="s">
        <v>47</v>
      </c>
      <c r="F22" t="s">
        <v>105</v>
      </c>
      <c r="G22">
        <v>2</v>
      </c>
      <c r="H22">
        <v>37</v>
      </c>
      <c r="I22">
        <v>30</v>
      </c>
      <c r="J22">
        <v>70</v>
      </c>
      <c r="K22">
        <v>74</v>
      </c>
      <c r="L22">
        <v>64</v>
      </c>
      <c r="M22">
        <v>54</v>
      </c>
      <c r="N22" t="s">
        <v>44</v>
      </c>
      <c r="O22" t="s">
        <v>48</v>
      </c>
      <c r="P22" t="s">
        <v>48</v>
      </c>
      <c r="Q22" t="s">
        <v>44</v>
      </c>
      <c r="R22" t="s">
        <v>42</v>
      </c>
      <c r="S22" t="s">
        <v>51</v>
      </c>
      <c r="T22" t="s">
        <v>48</v>
      </c>
      <c r="U22" t="s">
        <v>42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 x14ac:dyDescent="0.2">
      <c r="A23" t="s">
        <v>126</v>
      </c>
      <c r="B23">
        <v>34</v>
      </c>
      <c r="C23" t="s">
        <v>158</v>
      </c>
      <c r="D23" t="s">
        <v>47</v>
      </c>
      <c r="E23" t="s">
        <v>47</v>
      </c>
      <c r="F23" t="s">
        <v>40</v>
      </c>
      <c r="G23">
        <v>1</v>
      </c>
      <c r="H23">
        <v>82</v>
      </c>
      <c r="I23">
        <v>47</v>
      </c>
      <c r="J23">
        <v>65</v>
      </c>
      <c r="K23">
        <v>78</v>
      </c>
      <c r="L23">
        <v>84</v>
      </c>
      <c r="M23">
        <v>63</v>
      </c>
      <c r="N23" t="s">
        <v>43</v>
      </c>
      <c r="O23" t="s">
        <v>49</v>
      </c>
      <c r="P23" t="s">
        <v>43</v>
      </c>
      <c r="Q23" t="s">
        <v>48</v>
      </c>
      <c r="R23" t="s">
        <v>42</v>
      </c>
      <c r="S23" t="s">
        <v>43</v>
      </c>
      <c r="T23" t="s">
        <v>51</v>
      </c>
      <c r="U23" t="s">
        <v>42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 x14ac:dyDescent="0.2">
      <c r="A24" t="s">
        <v>126</v>
      </c>
      <c r="B24">
        <v>35</v>
      </c>
      <c r="C24" t="s">
        <v>159</v>
      </c>
      <c r="D24" t="s">
        <v>47</v>
      </c>
      <c r="E24" t="s">
        <v>47</v>
      </c>
      <c r="F24" t="s">
        <v>108</v>
      </c>
      <c r="G24">
        <v>3</v>
      </c>
      <c r="H24">
        <v>72</v>
      </c>
      <c r="I24">
        <v>50</v>
      </c>
      <c r="J24">
        <v>75</v>
      </c>
      <c r="K24">
        <v>77</v>
      </c>
      <c r="L24">
        <v>51</v>
      </c>
      <c r="M24">
        <v>84</v>
      </c>
      <c r="N24" t="s">
        <v>48</v>
      </c>
      <c r="O24" t="s">
        <v>51</v>
      </c>
      <c r="P24" t="s">
        <v>49</v>
      </c>
      <c r="Q24" t="s">
        <v>43</v>
      </c>
      <c r="R24" t="s">
        <v>48</v>
      </c>
      <c r="S24" t="s">
        <v>43</v>
      </c>
      <c r="T24" t="s">
        <v>51</v>
      </c>
      <c r="U24" t="s">
        <v>42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 x14ac:dyDescent="0.2">
      <c r="A25" t="s">
        <v>126</v>
      </c>
      <c r="B25">
        <v>36</v>
      </c>
      <c r="C25" t="s">
        <v>160</v>
      </c>
      <c r="D25" t="s">
        <v>47</v>
      </c>
      <c r="E25" t="s">
        <v>47</v>
      </c>
      <c r="F25" t="s">
        <v>47</v>
      </c>
      <c r="G25">
        <v>4</v>
      </c>
      <c r="H25">
        <v>82</v>
      </c>
      <c r="I25">
        <v>59</v>
      </c>
      <c r="J25">
        <v>51</v>
      </c>
      <c r="K25">
        <v>55</v>
      </c>
      <c r="L25">
        <v>86</v>
      </c>
      <c r="M25">
        <v>86</v>
      </c>
      <c r="N25" t="s">
        <v>49</v>
      </c>
      <c r="O25" t="s">
        <v>49</v>
      </c>
      <c r="P25" t="s">
        <v>43</v>
      </c>
      <c r="Q25" t="s">
        <v>45</v>
      </c>
      <c r="R25" t="s">
        <v>51</v>
      </c>
      <c r="S25" t="s">
        <v>44</v>
      </c>
      <c r="T25" t="s">
        <v>51</v>
      </c>
      <c r="U25" t="s">
        <v>45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"/>
  <sheetViews>
    <sheetView workbookViewId="0"/>
  </sheetViews>
  <sheetFormatPr defaultRowHeight="13" x14ac:dyDescent="0.2"/>
  <sheetData>
    <row r="1" spans="1:4" x14ac:dyDescent="0.2">
      <c r="A1" s="1">
        <v>1</v>
      </c>
      <c r="B1" s="1" t="s">
        <v>40</v>
      </c>
      <c r="C1" s="1" t="s">
        <v>161</v>
      </c>
      <c r="D1" s="1" t="s">
        <v>42</v>
      </c>
    </row>
    <row r="2" spans="1:4" x14ac:dyDescent="0.2">
      <c r="A2">
        <v>2</v>
      </c>
      <c r="B2" t="s">
        <v>47</v>
      </c>
      <c r="C2">
        <v>2</v>
      </c>
      <c r="D2" t="s">
        <v>44</v>
      </c>
    </row>
    <row r="3" spans="1:4" x14ac:dyDescent="0.2">
      <c r="C3">
        <v>3</v>
      </c>
      <c r="D3" t="s">
        <v>51</v>
      </c>
    </row>
    <row r="4" spans="1:4" x14ac:dyDescent="0.2">
      <c r="C4">
        <v>4</v>
      </c>
      <c r="D4" t="s">
        <v>43</v>
      </c>
    </row>
    <row r="5" spans="1:4" x14ac:dyDescent="0.2">
      <c r="C5">
        <v>5</v>
      </c>
      <c r="D5" t="s">
        <v>45</v>
      </c>
    </row>
    <row r="6" spans="1:4" x14ac:dyDescent="0.2">
      <c r="C6">
        <v>6</v>
      </c>
      <c r="D6" t="s">
        <v>49</v>
      </c>
    </row>
    <row r="7" spans="1:4" x14ac:dyDescent="0.2">
      <c r="C7">
        <v>7</v>
      </c>
      <c r="D7" t="s">
        <v>48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test1_p</vt:lpstr>
      <vt:lpstr>test1_b</vt:lpstr>
      <vt:lpstr>test2_p</vt:lpstr>
      <vt:lpstr>test2_b</vt:lpstr>
      <vt:lpstr>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幸佑 桑宮</cp:lastModifiedBy>
  <dcterms:created xsi:type="dcterms:W3CDTF">2025-12-31T03:15:25Z</dcterms:created>
  <dcterms:modified xsi:type="dcterms:W3CDTF">2025-12-31T17:45:33Z</dcterms:modified>
</cp:coreProperties>
</file>